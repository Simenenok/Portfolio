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27"/>
  <workbookPr/>
  <mc:AlternateContent xmlns:mc="http://schemas.openxmlformats.org/markup-compatibility/2006">
    <mc:Choice Requires="x15">
      <x15ac:absPath xmlns:x15ac="http://schemas.microsoft.com/office/spreadsheetml/2010/11/ac" url="https://storebrand.sharepoint.com/sites/TeamBM/Shared Documents/General/Admin/"/>
    </mc:Choice>
  </mc:AlternateContent>
  <xr:revisionPtr revIDLastSave="736" documentId="11_F5174EB5F602752971C7171AD7E407C73CED4083" xr6:coauthVersionLast="47" xr6:coauthVersionMax="47" xr10:uidLastSave="{508E9895-E9BF-4009-8349-8A78461E4404}"/>
  <bookViews>
    <workbookView xWindow="-110" yWindow="-110" windowWidth="19420" windowHeight="11500" xr2:uid="{00000000-000D-0000-FFFF-FFFF00000000}"/>
  </bookViews>
  <sheets>
    <sheet name="Timetable" sheetId="1" r:id="rId1"/>
    <sheet name="Dropdown" sheetId="4" r:id="rId2"/>
    <sheet name="Sheet2" sheetId="2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G10" i="1"/>
  <c r="G11" i="1"/>
  <c r="G12" i="1"/>
  <c r="G13" i="1"/>
  <c r="G2" i="1"/>
  <c r="G14" i="1"/>
  <c r="G3" i="1"/>
  <c r="G15" i="1"/>
  <c r="G4" i="1"/>
  <c r="G5" i="1"/>
  <c r="G6" i="1"/>
  <c r="G16" i="1"/>
  <c r="G7" i="1"/>
  <c r="G8" i="1"/>
  <c r="G17" i="1"/>
  <c r="G18" i="1"/>
  <c r="G19" i="1"/>
  <c r="G20" i="1"/>
  <c r="G21" i="1"/>
  <c r="G23" i="1"/>
  <c r="G24" i="1"/>
  <c r="G25" i="1"/>
  <c r="G22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</calcChain>
</file>

<file path=xl/sharedStrings.xml><?xml version="1.0" encoding="utf-8"?>
<sst xmlns="http://schemas.openxmlformats.org/spreadsheetml/2006/main" count="165" uniqueCount="104">
  <si>
    <t>Prioritet</t>
  </si>
  <si>
    <t>Tittel</t>
  </si>
  <si>
    <t>Tidsfrist</t>
  </si>
  <si>
    <t>Beskrivelse</t>
  </si>
  <si>
    <t>Tidsestimat</t>
  </si>
  <si>
    <t>Verdi</t>
  </si>
  <si>
    <t>Ratio</t>
  </si>
  <si>
    <t>Ansvarlig</t>
  </si>
  <si>
    <t>Status</t>
  </si>
  <si>
    <t>Hypotesedefinisjoner</t>
  </si>
  <si>
    <t xml:space="preserve">Formulere problemstilling(er) for sommerprosjektet. </t>
  </si>
  <si>
    <t>Alle</t>
  </si>
  <si>
    <t>Kvalitetssjekker</t>
  </si>
  <si>
    <t>Kostanalyse av customer calls</t>
  </si>
  <si>
    <t>Lage kundeundersøkelse på antall telefonsamtaler per dag (customer experience) og hvor mye en gjennomsnittlig ansatt koster</t>
  </si>
  <si>
    <t>Didrik og Aron</t>
  </si>
  <si>
    <t>Ikke startet</t>
  </si>
  <si>
    <t>Konkurrentanalyse</t>
  </si>
  <si>
    <t xml:space="preserve">Putte tall på hva det vil koste oss å oppskalere dagens løsning fremfor å implementere en høyere grad av selvbetjening og automasjon. </t>
  </si>
  <si>
    <t>Didrik og Mariann</t>
  </si>
  <si>
    <t>SWOT-analyse av løsningsforslag</t>
  </si>
  <si>
    <t>Identifisere styrker, svakheter, muligheter og trusler ved hver enkelt løsning på de ledende hypotesene. Gjennomført med Copilot for å spare tid</t>
  </si>
  <si>
    <t>Mariann</t>
  </si>
  <si>
    <t>Primærhypotese(r)</t>
  </si>
  <si>
    <t>Bestemme hvilke(n) hypotese(r) som er mest vitale å angripe</t>
  </si>
  <si>
    <t>Undersøke rapporter fra Anders</t>
  </si>
  <si>
    <t>Forstå kundedata vi allerede besitter</t>
  </si>
  <si>
    <t>Aron, Didrik og Mariann</t>
  </si>
  <si>
    <t>Kontakte UX-designere</t>
  </si>
  <si>
    <t>Finne ut av forbedringsområder i portalen og veilederen. Fått kontaktinfo fra Yago</t>
  </si>
  <si>
    <t>Simen</t>
  </si>
  <si>
    <t>Påbegynt</t>
  </si>
  <si>
    <t>Intervjumal Iterasjon 1</t>
  </si>
  <si>
    <t xml:space="preserve">Lage et script for hva vi skal spørre kunder / brukere om. </t>
  </si>
  <si>
    <t>Emma, Mariann og Simen</t>
  </si>
  <si>
    <t>Ferdig</t>
  </si>
  <si>
    <t>Intervjumal Iterasjon 2</t>
  </si>
  <si>
    <t>For kunder som ikke benytter seg av bedriftsportalen - f.eks. Selstendig næringsdrivende</t>
  </si>
  <si>
    <t>Kundeintervjuer Hypoteseinnsikt</t>
  </si>
  <si>
    <t xml:space="preserve">Kartlegge hva kunden ønsker å møtes med når hen går inn på våre sider for å forvalte sine produkter. Må gjennomføres etter intervjumalen. </t>
  </si>
  <si>
    <t>Medlydt</t>
  </si>
  <si>
    <t xml:space="preserve">Innblikk i utfordringer SMB-kundene kontakter Storebrand sine Customer Service team for. </t>
  </si>
  <si>
    <t>Aron og Simen</t>
  </si>
  <si>
    <t>Prat med kundefront</t>
  </si>
  <si>
    <t xml:space="preserve">Kontaktperson Anja og Labinot. Kunde har ikke opplevd å ha interagert med bedriftsportal, og hevder alt skjer automatisk gjennom NHO. Drøfte hypoteser. </t>
  </si>
  <si>
    <t>Didrik, Simen og Mariann</t>
  </si>
  <si>
    <t>Avklare taushetsplikt</t>
  </si>
  <si>
    <t xml:space="preserve">Drøfte hva som kan snakkes om på tog og lign. Antar Elin har kontroll på dette, ellers må vi høre med HR / Legal. </t>
  </si>
  <si>
    <t>Brainstorming løsningsforslag på hypoteser</t>
  </si>
  <si>
    <t xml:space="preserve">Planlegge hvile tiltak som kan implementeres for å mitigere eller løse noen av problemstillingene som er avduket. Benytt pling som del av brainstorming. </t>
  </si>
  <si>
    <t>Få tilgang til Looker Studios</t>
  </si>
  <si>
    <t>Trengs for å se på rapporter fra Anders</t>
  </si>
  <si>
    <t>Tilgang C3 og avdelingen til Anders</t>
  </si>
  <si>
    <t>Kontakt resepsjon eller Sondre Nysveen</t>
  </si>
  <si>
    <t>Møte med Yago</t>
  </si>
  <si>
    <t>Forstå brukerplattformen og IT-arkitekturen</t>
  </si>
  <si>
    <t>Møte med Anders</t>
  </si>
  <si>
    <t xml:space="preserve">Forstå bedriftsportalen. </t>
  </si>
  <si>
    <t>Intervjue medlemmer i customer service-teamet om vanlige kundebehov</t>
  </si>
  <si>
    <t xml:space="preserve">Hva går igjen blant kundeforespørsler? Hvor merker kundeservice at trykket ligger? Hvis ikke lage en og poste I kanal for kundeservicemedarbeidere. Vi ønsker å gjøre hverdagen deres mindre hektisk. </t>
  </si>
  <si>
    <t>Aron og Didrik</t>
  </si>
  <si>
    <t xml:space="preserve">Medlydt DM - ringe tilbake til kunder </t>
  </si>
  <si>
    <t>Aron</t>
  </si>
  <si>
    <t>Fotografering - tidspunkt</t>
  </si>
  <si>
    <t>Avklare tidspunkt for fotografering med PR.</t>
  </si>
  <si>
    <t>Presentasjon - fredag</t>
  </si>
  <si>
    <t xml:space="preserve">Presenteres i digital garden fredag morgen. Gjennomgang av progresjon og planen videre for caset. </t>
  </si>
  <si>
    <t>Emma, Aron og Simen</t>
  </si>
  <si>
    <t>Gjøre noe design-greier</t>
  </si>
  <si>
    <t>?????????</t>
  </si>
  <si>
    <t xml:space="preserve">Sende inn reiseregninger fra Sverige.  </t>
  </si>
  <si>
    <t xml:space="preserve">Admin. Bør gjøres asap for å fullføre refusjon. Didrik og Simen er ferdig - hør med dem for hjelp. </t>
  </si>
  <si>
    <t>Segmenteringsanalyse</t>
  </si>
  <si>
    <t>Sjekke segmentering og KPIer på både antall ansatte og næringsområde</t>
  </si>
  <si>
    <t>Gjøre konkurrentanalyse av If, Gjensidige og Tryg på deres SMB-løsninger</t>
  </si>
  <si>
    <t>Idemyldring</t>
  </si>
  <si>
    <t>Begynne idémyldring på løsningsforslag.</t>
  </si>
  <si>
    <t>Rangere ideer</t>
  </si>
  <si>
    <t xml:space="preserve">Rangere løsningsforslag og diskutere + lande hvilket vi har mest tro på.  </t>
  </si>
  <si>
    <t>Gå gjennom SWOT</t>
  </si>
  <si>
    <t>Se over analyse før clusterkonsolidering</t>
  </si>
  <si>
    <t>Konsolidere clusters</t>
  </si>
  <si>
    <t>Både redusere størrelse på og antall clusters</t>
  </si>
  <si>
    <t>Lage pitch for problemstillingen til BM</t>
  </si>
  <si>
    <t xml:space="preserve">Trengs for invitasjon til endelig presentasjon i august. Send til Elin. </t>
  </si>
  <si>
    <t>Legge inn funn i Miro</t>
  </si>
  <si>
    <t xml:space="preserve">Konsolidere datagrunnlag / innsikt. </t>
  </si>
  <si>
    <t>Tilgang til Salesforce PROD</t>
  </si>
  <si>
    <t xml:space="preserve">Elin er kontaktet. Lagt inn i MyAccess for tilgang som rådgiver. </t>
  </si>
  <si>
    <t>Didrik og Emma</t>
  </si>
  <si>
    <t>Tilgang til Snowflake-data</t>
  </si>
  <si>
    <t xml:space="preserve">Info om segmentering, kundeatferd (typ hvor ofte de ringer etc.), produktsammensetning (ift. at USB er integrert i BP og F2100 ikke er). Kontakt Neringa for direkte uttak - kan gi tilgang ved nød. </t>
  </si>
  <si>
    <t>Didrik</t>
  </si>
  <si>
    <t>Øke granularitet på telefonliste</t>
  </si>
  <si>
    <t xml:space="preserve">Fått liste over innringinger fra Anja. Koble dette på Salesforce eller Proff data for undersøke forskjeller mellom segmenter. </t>
  </si>
  <si>
    <t>Kvantifisere løsningsforslagene</t>
  </si>
  <si>
    <t xml:space="preserve">Evaluere opportunity cost på løsningsforslag. </t>
  </si>
  <si>
    <t>Få tilgang til bedriftspotalen</t>
  </si>
  <si>
    <t>Høre med noen i kundefront eller BP-tech om gjennomgang/innføring</t>
  </si>
  <si>
    <t>Alle unntatt Aron</t>
  </si>
  <si>
    <t>Kundeanalyse</t>
  </si>
  <si>
    <t xml:space="preserve">Produkt- og lønnsomshetanalyse på SMB-kunder </t>
  </si>
  <si>
    <t>Brukertester</t>
  </si>
  <si>
    <t>Sende ut forespørsler om brukertester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</si>
</sst>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sz val="11"/>
      <color rgb="FF000000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5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general" vertical="bottom" textRotation="0" wrapText="1" indent="0" justifyLastLine="0" shrinkToFit="0" readingOrder="0"/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FCC9C4-A2AD-407B-873C-29529CB9609D}" name="Table2" displayName="Table2" ref="A1:I69" totalsRowShown="0" headerRowDxfId="10" dataDxfId="9">
  <autoFilter ref="A1:I69" xr:uid="{9AFCC9C4-A2AD-407B-873C-29529CB9609D}"/>
  <sortState xmlns:xlrd2="http://schemas.microsoft.com/office/spreadsheetml/2017/richdata2" ref="A2:I69">
    <sortCondition ref="A1:A69"/>
  </sortState>
  <tableColumns count="9">
    <tableColumn id="1" xr3:uid="{5E4AE9EF-82A1-4976-AC11-6DE2C943AEE1}" name="Prioritet" dataDxfId="8"/>
    <tableColumn id="2" xr3:uid="{2A9DB0F5-45B4-49D7-B495-36C6EF571711}" name="Tittel" dataDxfId="7"/>
    <tableColumn id="10" xr3:uid="{60B51C6F-473E-48FE-A921-586D5CFCC475}" name="Tidsfrist" dataDxfId="6"/>
    <tableColumn id="3" xr3:uid="{4CA51EBC-EAE9-48AB-AA83-E558A279E41E}" name="Beskrivelse" dataDxfId="5"/>
    <tableColumn id="4" xr3:uid="{78F4E69A-34DC-4D76-8068-71428F45754C}" name="Tidsestimat" dataDxfId="4"/>
    <tableColumn id="5" xr3:uid="{A30CAA2A-893B-422B-BEED-F9C5FEC4E407}" name="Verdi" dataDxfId="3"/>
    <tableColumn id="7" xr3:uid="{3805DCAA-D509-434E-8F27-C761667DFF25}" name="Ratio" dataDxfId="2">
      <calculatedColumnFormula>Table2[[#This Row],[Verdi]]*(6-Table2[[#This Row],[Tidsestimat]])</calculatedColumnFormula>
    </tableColumn>
    <tableColumn id="8" xr3:uid="{D4B9413E-B1D7-4E94-A1C4-7F8EFF6D0129}" name="Ansvarlig" dataDxfId="1"/>
    <tableColumn id="6" xr3:uid="{BD72D174-7578-4D38-BACB-0348D22827B6}" name="Statu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9"/>
  <sheetViews>
    <sheetView tabSelected="1" topLeftCell="A27" zoomScaleNormal="100" workbookViewId="0">
      <selection activeCell="B42" sqref="B42"/>
    </sheetView>
  </sheetViews>
  <sheetFormatPr defaultRowHeight="14.45"/>
  <cols>
    <col min="1" max="1" width="9.42578125" style="2" customWidth="1"/>
    <col min="2" max="2" width="33" style="2" customWidth="1"/>
    <col min="3" max="3" width="10.5703125" style="2" customWidth="1"/>
    <col min="4" max="4" width="60.7109375" style="2" customWidth="1"/>
    <col min="5" max="5" width="13.28515625" style="2" customWidth="1"/>
    <col min="6" max="6" width="7.5703125" style="2" customWidth="1"/>
    <col min="7" max="7" width="6.7109375" style="2" customWidth="1"/>
    <col min="8" max="8" width="15.85546875" style="2" customWidth="1"/>
    <col min="9" max="9" width="14.7109375" style="2" customWidth="1"/>
  </cols>
  <sheetData>
    <row r="1" spans="1:9" ht="14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9.1">
      <c r="A2" s="2">
        <v>1</v>
      </c>
      <c r="B2" s="2" t="s">
        <v>9</v>
      </c>
      <c r="C2" s="3">
        <v>45471</v>
      </c>
      <c r="D2" s="2" t="s">
        <v>10</v>
      </c>
      <c r="E2" s="2">
        <v>2</v>
      </c>
      <c r="F2" s="2">
        <v>5</v>
      </c>
      <c r="G2" s="2">
        <f>Table2[[#This Row],[Verdi]]*(6-Table2[[#This Row],[Tidsestimat]])</f>
        <v>20</v>
      </c>
      <c r="H2" s="2" t="s">
        <v>11</v>
      </c>
      <c r="I2" s="2" t="s">
        <v>12</v>
      </c>
    </row>
    <row r="3" spans="1:9" ht="29.1">
      <c r="A3" s="2">
        <v>9</v>
      </c>
      <c r="B3" s="2" t="s">
        <v>13</v>
      </c>
      <c r="D3" s="2" t="s">
        <v>14</v>
      </c>
      <c r="E3" s="2">
        <v>3</v>
      </c>
      <c r="F3" s="2">
        <v>3</v>
      </c>
      <c r="G3" s="2">
        <f>Table2[[#This Row],[Verdi]]*(6-Table2[[#This Row],[Tidsestimat]])</f>
        <v>9</v>
      </c>
      <c r="H3" s="2" t="s">
        <v>15</v>
      </c>
      <c r="I3" s="2" t="s">
        <v>16</v>
      </c>
    </row>
    <row r="4" spans="1:9" ht="29.1">
      <c r="A4" s="2">
        <v>11</v>
      </c>
      <c r="B4" s="2" t="s">
        <v>17</v>
      </c>
      <c r="D4" s="2" t="s">
        <v>18</v>
      </c>
      <c r="E4" s="2">
        <v>3</v>
      </c>
      <c r="F4" s="2">
        <v>2</v>
      </c>
      <c r="G4" s="2">
        <f>Table2[[#This Row],[Verdi]]*(6-Table2[[#This Row],[Tidsestimat]])</f>
        <v>6</v>
      </c>
      <c r="H4" s="2" t="s">
        <v>19</v>
      </c>
      <c r="I4" s="2" t="s">
        <v>16</v>
      </c>
    </row>
    <row r="5" spans="1:9" ht="29.1">
      <c r="A5" s="2">
        <v>12</v>
      </c>
      <c r="B5" s="2" t="s">
        <v>20</v>
      </c>
      <c r="D5" s="2" t="s">
        <v>21</v>
      </c>
      <c r="E5" s="2">
        <v>2</v>
      </c>
      <c r="F5" s="2">
        <v>4</v>
      </c>
      <c r="G5" s="2">
        <f>Table2[[#This Row],[Verdi]]*(6-Table2[[#This Row],[Tidsestimat]])</f>
        <v>16</v>
      </c>
      <c r="H5" s="2" t="s">
        <v>22</v>
      </c>
      <c r="I5" s="2" t="s">
        <v>12</v>
      </c>
    </row>
    <row r="6" spans="1:9" ht="43.5">
      <c r="A6" s="2">
        <v>13</v>
      </c>
      <c r="B6" s="2" t="s">
        <v>23</v>
      </c>
      <c r="C6" s="3">
        <v>45473</v>
      </c>
      <c r="D6" s="2" t="s">
        <v>24</v>
      </c>
      <c r="E6" s="2">
        <v>2</v>
      </c>
      <c r="F6" s="2">
        <v>5</v>
      </c>
      <c r="G6" s="2">
        <f>Table2[[#This Row],[Verdi]]*(6-Table2[[#This Row],[Tidsestimat]])</f>
        <v>20</v>
      </c>
      <c r="H6" s="2" t="s">
        <v>11</v>
      </c>
      <c r="I6" s="2" t="s">
        <v>16</v>
      </c>
    </row>
    <row r="7" spans="1:9">
      <c r="A7" s="2">
        <v>15</v>
      </c>
      <c r="B7" s="2" t="s">
        <v>25</v>
      </c>
      <c r="D7" s="2" t="s">
        <v>26</v>
      </c>
      <c r="E7" s="2">
        <v>3</v>
      </c>
      <c r="F7" s="2">
        <v>3</v>
      </c>
      <c r="G7" s="2">
        <f>Table2[[#This Row],[Verdi]]*(6-Table2[[#This Row],[Tidsestimat]])</f>
        <v>9</v>
      </c>
      <c r="H7" s="2" t="s">
        <v>27</v>
      </c>
      <c r="I7" s="2" t="s">
        <v>12</v>
      </c>
    </row>
    <row r="8" spans="1:9" ht="29.1">
      <c r="A8" s="2">
        <v>16</v>
      </c>
      <c r="B8" s="2" t="s">
        <v>28</v>
      </c>
      <c r="D8" s="2" t="s">
        <v>29</v>
      </c>
      <c r="E8" s="2">
        <v>2</v>
      </c>
      <c r="F8" s="2">
        <v>4</v>
      </c>
      <c r="G8" s="2">
        <f>Table2[[#This Row],[Verdi]]*(6-Table2[[#This Row],[Tidsestimat]])</f>
        <v>16</v>
      </c>
      <c r="H8" s="2" t="s">
        <v>30</v>
      </c>
      <c r="I8" s="2" t="s">
        <v>31</v>
      </c>
    </row>
    <row r="9" spans="1:9" ht="29.1">
      <c r="A9" s="2">
        <v>999</v>
      </c>
      <c r="B9" s="2" t="s">
        <v>32</v>
      </c>
      <c r="C9" s="3">
        <v>45464</v>
      </c>
      <c r="D9" s="2" t="s">
        <v>33</v>
      </c>
      <c r="E9" s="2">
        <v>3</v>
      </c>
      <c r="F9" s="2">
        <v>2</v>
      </c>
      <c r="G9" s="2">
        <f>Table2[[#This Row],[Verdi]]*(6-Table2[[#This Row],[Tidsestimat]])</f>
        <v>6</v>
      </c>
      <c r="H9" s="2" t="s">
        <v>34</v>
      </c>
      <c r="I9" s="2" t="s">
        <v>35</v>
      </c>
    </row>
    <row r="10" spans="1:9" ht="43.5">
      <c r="A10" s="2">
        <v>999</v>
      </c>
      <c r="B10" s="2" t="s">
        <v>36</v>
      </c>
      <c r="D10" s="2" t="s">
        <v>37</v>
      </c>
      <c r="E10" s="2">
        <v>2</v>
      </c>
      <c r="F10" s="2">
        <v>2</v>
      </c>
      <c r="G10" s="2">
        <f>Table2[[#This Row],[Verdi]]*(6-Table2[[#This Row],[Tidsestimat]])</f>
        <v>8</v>
      </c>
      <c r="H10" s="2" t="s">
        <v>34</v>
      </c>
      <c r="I10" s="2" t="s">
        <v>35</v>
      </c>
    </row>
    <row r="11" spans="1:9" ht="29.1">
      <c r="A11" s="2">
        <v>999</v>
      </c>
      <c r="B11" s="2" t="s">
        <v>38</v>
      </c>
      <c r="D11" s="2" t="s">
        <v>39</v>
      </c>
      <c r="E11" s="2">
        <v>4</v>
      </c>
      <c r="F11" s="2">
        <v>5</v>
      </c>
      <c r="G11" s="2">
        <f>Table2[[#This Row],[Verdi]]*(6-Table2[[#This Row],[Tidsestimat]])</f>
        <v>10</v>
      </c>
      <c r="H11" s="2" t="s">
        <v>34</v>
      </c>
      <c r="I11" s="2" t="s">
        <v>35</v>
      </c>
    </row>
    <row r="12" spans="1:9" ht="43.5">
      <c r="A12" s="2">
        <v>999</v>
      </c>
      <c r="B12" s="2" t="s">
        <v>40</v>
      </c>
      <c r="D12" s="2" t="s">
        <v>41</v>
      </c>
      <c r="E12" s="2">
        <v>2</v>
      </c>
      <c r="F12" s="2">
        <v>5</v>
      </c>
      <c r="G12" s="2">
        <f>Table2[[#This Row],[Verdi]]*(6-Table2[[#This Row],[Tidsestimat]])</f>
        <v>20</v>
      </c>
      <c r="H12" s="2" t="s">
        <v>42</v>
      </c>
      <c r="I12" s="2" t="s">
        <v>35</v>
      </c>
    </row>
    <row r="13" spans="1:9">
      <c r="A13" s="2">
        <v>999</v>
      </c>
      <c r="B13" s="2" t="s">
        <v>43</v>
      </c>
      <c r="C13" s="3">
        <v>45464</v>
      </c>
      <c r="D13" s="2" t="s">
        <v>44</v>
      </c>
      <c r="E13" s="2">
        <v>3</v>
      </c>
      <c r="F13" s="2">
        <v>5</v>
      </c>
      <c r="G13" s="2">
        <f>Table2[[#This Row],[Verdi]]*(6-Table2[[#This Row],[Tidsestimat]])</f>
        <v>15</v>
      </c>
      <c r="H13" s="2" t="s">
        <v>45</v>
      </c>
      <c r="I13" s="2" t="s">
        <v>35</v>
      </c>
    </row>
    <row r="14" spans="1:9" ht="29.1">
      <c r="A14" s="2">
        <v>999</v>
      </c>
      <c r="B14" s="2" t="s">
        <v>46</v>
      </c>
      <c r="C14" s="3">
        <v>45468</v>
      </c>
      <c r="D14" s="2" t="s">
        <v>47</v>
      </c>
      <c r="E14" s="2">
        <v>2</v>
      </c>
      <c r="F14" s="2">
        <v>5</v>
      </c>
      <c r="G14" s="2">
        <f>Table2[[#This Row],[Verdi]]*(6-Table2[[#This Row],[Tidsestimat]])</f>
        <v>20</v>
      </c>
      <c r="H14" s="2" t="s">
        <v>11</v>
      </c>
      <c r="I14" s="2" t="s">
        <v>35</v>
      </c>
    </row>
    <row r="15" spans="1:9" ht="29.1">
      <c r="A15" s="2">
        <v>999</v>
      </c>
      <c r="B15" s="2" t="s">
        <v>48</v>
      </c>
      <c r="C15" s="3">
        <v>45468</v>
      </c>
      <c r="D15" s="2" t="s">
        <v>49</v>
      </c>
      <c r="E15" s="2">
        <v>3</v>
      </c>
      <c r="F15" s="2">
        <v>5</v>
      </c>
      <c r="G15" s="2">
        <f>Table2[[#This Row],[Verdi]]*(6-Table2[[#This Row],[Tidsestimat]])</f>
        <v>15</v>
      </c>
      <c r="H15" s="2" t="s">
        <v>11</v>
      </c>
      <c r="I15" s="2" t="s">
        <v>35</v>
      </c>
    </row>
    <row r="16" spans="1:9" ht="29.1">
      <c r="A16" s="2">
        <v>999</v>
      </c>
      <c r="B16" s="2" t="s">
        <v>50</v>
      </c>
      <c r="D16" s="2" t="s">
        <v>51</v>
      </c>
      <c r="E16" s="2">
        <v>1</v>
      </c>
      <c r="F16" s="2">
        <v>2</v>
      </c>
      <c r="G16" s="2">
        <f>Table2[[#This Row],[Verdi]]*(6-Table2[[#This Row],[Tidsestimat]])</f>
        <v>10</v>
      </c>
      <c r="H16" s="2" t="s">
        <v>27</v>
      </c>
      <c r="I16" s="2" t="s">
        <v>35</v>
      </c>
    </row>
    <row r="17" spans="1:9">
      <c r="A17" s="2">
        <v>999</v>
      </c>
      <c r="B17" s="2" t="s">
        <v>52</v>
      </c>
      <c r="D17" s="2" t="s">
        <v>53</v>
      </c>
      <c r="E17" s="2">
        <v>2</v>
      </c>
      <c r="F17" s="2">
        <v>3</v>
      </c>
      <c r="G17" s="2">
        <f>Table2[[#This Row],[Verdi]]*(6-Table2[[#This Row],[Tidsestimat]])</f>
        <v>12</v>
      </c>
      <c r="H17" s="2" t="s">
        <v>11</v>
      </c>
      <c r="I17" s="2" t="s">
        <v>35</v>
      </c>
    </row>
    <row r="18" spans="1:9">
      <c r="A18" s="2">
        <v>999</v>
      </c>
      <c r="B18" s="2" t="s">
        <v>54</v>
      </c>
      <c r="D18" s="2" t="s">
        <v>55</v>
      </c>
      <c r="E18" s="2">
        <v>1</v>
      </c>
      <c r="F18" s="2">
        <v>4</v>
      </c>
      <c r="G18" s="2">
        <f>Table2[[#This Row],[Verdi]]*(6-Table2[[#This Row],[Tidsestimat]])</f>
        <v>20</v>
      </c>
      <c r="H18" s="2" t="s">
        <v>11</v>
      </c>
      <c r="I18" s="2" t="s">
        <v>35</v>
      </c>
    </row>
    <row r="19" spans="1:9">
      <c r="A19" s="2">
        <v>999</v>
      </c>
      <c r="B19" s="2" t="s">
        <v>56</v>
      </c>
      <c r="D19" s="2" t="s">
        <v>57</v>
      </c>
      <c r="E19" s="2">
        <v>1</v>
      </c>
      <c r="F19" s="2">
        <v>3</v>
      </c>
      <c r="G19" s="2">
        <f>Table2[[#This Row],[Verdi]]*(6-Table2[[#This Row],[Tidsestimat]])</f>
        <v>15</v>
      </c>
      <c r="H19" s="2" t="s">
        <v>11</v>
      </c>
      <c r="I19" s="2" t="s">
        <v>35</v>
      </c>
    </row>
    <row r="20" spans="1:9" ht="57.95">
      <c r="A20" s="2">
        <v>999</v>
      </c>
      <c r="B20" s="2" t="s">
        <v>58</v>
      </c>
      <c r="C20" s="3">
        <v>45464</v>
      </c>
      <c r="D20" s="2" t="s">
        <v>59</v>
      </c>
      <c r="E20" s="2">
        <v>2</v>
      </c>
      <c r="F20" s="2">
        <v>3</v>
      </c>
      <c r="G20" s="2">
        <f>Table2[[#This Row],[Verdi]]*(6-Table2[[#This Row],[Tidsestimat]])</f>
        <v>12</v>
      </c>
      <c r="H20" s="2" t="s">
        <v>60</v>
      </c>
      <c r="I20" s="2" t="s">
        <v>35</v>
      </c>
    </row>
    <row r="21" spans="1:9">
      <c r="A21" s="2">
        <v>999</v>
      </c>
      <c r="B21" s="2" t="s">
        <v>61</v>
      </c>
      <c r="E21" s="2">
        <v>1</v>
      </c>
      <c r="F21" s="2">
        <v>4</v>
      </c>
      <c r="G21" s="2">
        <f>Table2[[#This Row],[Verdi]]*(6-Table2[[#This Row],[Tidsestimat]])</f>
        <v>20</v>
      </c>
      <c r="H21" s="2" t="s">
        <v>62</v>
      </c>
      <c r="I21" s="2" t="s">
        <v>35</v>
      </c>
    </row>
    <row r="22" spans="1:9" ht="29.1">
      <c r="A22" s="2">
        <v>999</v>
      </c>
      <c r="B22" s="2" t="s">
        <v>63</v>
      </c>
      <c r="C22" s="3">
        <v>45476</v>
      </c>
      <c r="D22" s="4" t="s">
        <v>64</v>
      </c>
      <c r="E22" s="2">
        <v>1</v>
      </c>
      <c r="F22" s="2">
        <v>1</v>
      </c>
      <c r="G22" s="2">
        <f>Table2[[#This Row],[Verdi]]*(6-Table2[[#This Row],[Tidsestimat]])</f>
        <v>5</v>
      </c>
      <c r="H22" s="2" t="s">
        <v>11</v>
      </c>
      <c r="I22" s="2" t="s">
        <v>35</v>
      </c>
    </row>
    <row r="23" spans="1:9" ht="29.1">
      <c r="B23" s="2" t="s">
        <v>65</v>
      </c>
      <c r="C23" s="3">
        <v>45478</v>
      </c>
      <c r="D23" s="5" t="s">
        <v>66</v>
      </c>
      <c r="E23" s="2">
        <v>2</v>
      </c>
      <c r="F23" s="2">
        <v>2</v>
      </c>
      <c r="G23" s="2">
        <f>Table2[[#This Row],[Verdi]]*(6-Table2[[#This Row],[Tidsestimat]])</f>
        <v>8</v>
      </c>
      <c r="H23" s="2" t="s">
        <v>67</v>
      </c>
      <c r="I23" s="2" t="s">
        <v>31</v>
      </c>
    </row>
    <row r="24" spans="1:9">
      <c r="B24" s="2" t="s">
        <v>68</v>
      </c>
      <c r="C24" s="3">
        <v>45483</v>
      </c>
      <c r="D24" s="2" t="s">
        <v>69</v>
      </c>
      <c r="E24" s="2">
        <v>3</v>
      </c>
      <c r="F24" s="2">
        <v>6</v>
      </c>
      <c r="G24" s="2">
        <f>Table2[[#This Row],[Verdi]]*(6-Table2[[#This Row],[Tidsestimat]])</f>
        <v>18</v>
      </c>
      <c r="H24" s="2" t="s">
        <v>30</v>
      </c>
      <c r="I24" s="2" t="s">
        <v>31</v>
      </c>
    </row>
    <row r="25" spans="1:9" ht="29.1">
      <c r="B25" s="2" t="s">
        <v>70</v>
      </c>
      <c r="C25" s="3">
        <v>45483</v>
      </c>
      <c r="D25" s="2" t="s">
        <v>71</v>
      </c>
      <c r="E25" s="2">
        <v>1</v>
      </c>
      <c r="F25" s="2">
        <v>1</v>
      </c>
      <c r="G25" s="2">
        <f>Table2[[#This Row],[Verdi]]*(6-Table2[[#This Row],[Tidsestimat]])</f>
        <v>5</v>
      </c>
      <c r="H25" s="2" t="s">
        <v>11</v>
      </c>
      <c r="I25" s="2" t="s">
        <v>31</v>
      </c>
    </row>
    <row r="26" spans="1:9">
      <c r="B26" s="2" t="s">
        <v>72</v>
      </c>
      <c r="C26" s="3">
        <v>45483</v>
      </c>
      <c r="D26" s="5" t="s">
        <v>73</v>
      </c>
      <c r="E26" s="2">
        <v>3</v>
      </c>
      <c r="F26" s="2">
        <v>4</v>
      </c>
      <c r="G26" s="2">
        <f>Table2[[#This Row],[Verdi]]*(6-Table2[[#This Row],[Tidsestimat]])</f>
        <v>12</v>
      </c>
      <c r="H26" s="4" t="s">
        <v>15</v>
      </c>
      <c r="I26" s="2" t="s">
        <v>31</v>
      </c>
    </row>
    <row r="27" spans="1:9">
      <c r="B27" s="2" t="s">
        <v>17</v>
      </c>
      <c r="C27" s="3">
        <v>45483</v>
      </c>
      <c r="D27" s="4" t="s">
        <v>74</v>
      </c>
      <c r="E27" s="2">
        <v>2</v>
      </c>
      <c r="F27" s="2">
        <v>4</v>
      </c>
      <c r="G27" s="2">
        <f>Table2[[#This Row],[Verdi]]*(6-Table2[[#This Row],[Tidsestimat]])</f>
        <v>16</v>
      </c>
      <c r="H27" s="4" t="s">
        <v>22</v>
      </c>
      <c r="I27" s="2" t="s">
        <v>31</v>
      </c>
    </row>
    <row r="28" spans="1:9">
      <c r="B28" s="2" t="s">
        <v>75</v>
      </c>
      <c r="C28" s="3">
        <v>45483</v>
      </c>
      <c r="D28" s="4" t="s">
        <v>76</v>
      </c>
      <c r="E28" s="2">
        <v>2</v>
      </c>
      <c r="F28" s="2">
        <v>5</v>
      </c>
      <c r="G28" s="2">
        <f>Table2[[#This Row],[Verdi]]*(6-Table2[[#This Row],[Tidsestimat]])</f>
        <v>20</v>
      </c>
      <c r="H28" s="2" t="s">
        <v>11</v>
      </c>
      <c r="I28" s="2" t="s">
        <v>31</v>
      </c>
    </row>
    <row r="29" spans="1:9">
      <c r="B29" s="2" t="s">
        <v>77</v>
      </c>
      <c r="C29" s="3">
        <v>45483</v>
      </c>
      <c r="D29" s="2" t="s">
        <v>78</v>
      </c>
      <c r="E29" s="2">
        <v>2</v>
      </c>
      <c r="F29" s="2">
        <v>5</v>
      </c>
      <c r="G29" s="2">
        <f>Table2[[#This Row],[Verdi]]*(6-Table2[[#This Row],[Tidsestimat]])</f>
        <v>20</v>
      </c>
      <c r="H29" s="2" t="s">
        <v>11</v>
      </c>
      <c r="I29" s="2" t="s">
        <v>16</v>
      </c>
    </row>
    <row r="30" spans="1:9">
      <c r="B30" s="2" t="s">
        <v>79</v>
      </c>
      <c r="C30" s="3">
        <v>45476</v>
      </c>
      <c r="D30" s="2" t="s">
        <v>80</v>
      </c>
      <c r="E30" s="2">
        <v>2</v>
      </c>
      <c r="F30" s="2">
        <v>3</v>
      </c>
      <c r="G30" s="2">
        <f>Table2[[#This Row],[Verdi]]*(6-Table2[[#This Row],[Tidsestimat]])</f>
        <v>12</v>
      </c>
      <c r="H30" s="2" t="s">
        <v>11</v>
      </c>
      <c r="I30" s="2" t="s">
        <v>16</v>
      </c>
    </row>
    <row r="31" spans="1:9">
      <c r="B31" s="2" t="s">
        <v>81</v>
      </c>
      <c r="C31" s="3">
        <v>45476</v>
      </c>
      <c r="D31" s="2" t="s">
        <v>82</v>
      </c>
      <c r="E31" s="2">
        <v>3</v>
      </c>
      <c r="F31" s="2">
        <v>5</v>
      </c>
      <c r="G31" s="2">
        <f>Table2[[#This Row],[Verdi]]*(6-Table2[[#This Row],[Tidsestimat]])</f>
        <v>15</v>
      </c>
      <c r="H31" s="2" t="s">
        <v>11</v>
      </c>
      <c r="I31" s="2" t="s">
        <v>16</v>
      </c>
    </row>
    <row r="32" spans="1:9">
      <c r="B32" s="2" t="s">
        <v>83</v>
      </c>
      <c r="C32" s="3">
        <v>45478</v>
      </c>
      <c r="D32" s="2" t="s">
        <v>84</v>
      </c>
      <c r="E32" s="2">
        <v>1</v>
      </c>
      <c r="F32" s="2">
        <v>2</v>
      </c>
      <c r="G32" s="2">
        <f>Table2[[#This Row],[Verdi]]*(6-Table2[[#This Row],[Tidsestimat]])</f>
        <v>10</v>
      </c>
      <c r="H32" s="2" t="s">
        <v>11</v>
      </c>
      <c r="I32" s="2" t="s">
        <v>16</v>
      </c>
    </row>
    <row r="33" spans="1:9">
      <c r="A33" s="2">
        <v>999</v>
      </c>
      <c r="B33" s="2" t="s">
        <v>85</v>
      </c>
      <c r="C33" s="3">
        <v>45474</v>
      </c>
      <c r="D33" s="2" t="s">
        <v>86</v>
      </c>
      <c r="E33" s="2">
        <v>4</v>
      </c>
      <c r="F33" s="2">
        <v>3</v>
      </c>
      <c r="G33" s="2">
        <f>Table2[[#This Row],[Verdi]]*(6-Table2[[#This Row],[Tidsestimat]])</f>
        <v>6</v>
      </c>
      <c r="H33" s="2" t="s">
        <v>11</v>
      </c>
      <c r="I33" s="2" t="s">
        <v>16</v>
      </c>
    </row>
    <row r="34" spans="1:9">
      <c r="B34" s="2" t="s">
        <v>87</v>
      </c>
      <c r="C34" s="3">
        <v>45478</v>
      </c>
      <c r="D34" s="2" t="s">
        <v>88</v>
      </c>
      <c r="E34" s="2">
        <v>3</v>
      </c>
      <c r="F34" s="2">
        <v>5</v>
      </c>
      <c r="G34" s="2">
        <f>Table2[[#This Row],[Verdi]]*(6-Table2[[#This Row],[Tidsestimat]])</f>
        <v>15</v>
      </c>
      <c r="H34" s="2" t="s">
        <v>89</v>
      </c>
      <c r="I34" s="2" t="s">
        <v>31</v>
      </c>
    </row>
    <row r="35" spans="1:9" ht="43.5">
      <c r="B35" s="2" t="s">
        <v>90</v>
      </c>
      <c r="C35" s="3">
        <v>45478</v>
      </c>
      <c r="D35" s="2" t="s">
        <v>91</v>
      </c>
      <c r="E35" s="2">
        <v>3</v>
      </c>
      <c r="F35" s="2">
        <v>5</v>
      </c>
      <c r="G35" s="2">
        <f>Table2[[#This Row],[Verdi]]*(6-Table2[[#This Row],[Tidsestimat]])</f>
        <v>15</v>
      </c>
      <c r="H35" s="2" t="s">
        <v>92</v>
      </c>
      <c r="I35" s="2" t="s">
        <v>16</v>
      </c>
    </row>
    <row r="36" spans="1:9" ht="29.1">
      <c r="B36" s="2" t="s">
        <v>93</v>
      </c>
      <c r="D36" s="2" t="s">
        <v>94</v>
      </c>
      <c r="E36" s="2">
        <v>2</v>
      </c>
      <c r="F36" s="2">
        <v>4</v>
      </c>
      <c r="G36" s="2">
        <f>Table2[[#This Row],[Verdi]]*(6-Table2[[#This Row],[Tidsestimat]])</f>
        <v>16</v>
      </c>
      <c r="H36" s="2" t="s">
        <v>60</v>
      </c>
      <c r="I36" s="2" t="s">
        <v>16</v>
      </c>
    </row>
    <row r="37" spans="1:9">
      <c r="B37" s="2" t="s">
        <v>95</v>
      </c>
      <c r="C37" s="3">
        <v>45478</v>
      </c>
      <c r="D37" s="2" t="s">
        <v>96</v>
      </c>
      <c r="E37" s="2">
        <v>3</v>
      </c>
      <c r="F37" s="2">
        <v>5</v>
      </c>
      <c r="G37" s="2">
        <f>Table2[[#This Row],[Verdi]]*(6-Table2[[#This Row],[Tidsestimat]])</f>
        <v>15</v>
      </c>
      <c r="H37" s="2" t="s">
        <v>11</v>
      </c>
      <c r="I37" s="2" t="s">
        <v>16</v>
      </c>
    </row>
    <row r="38" spans="1:9">
      <c r="B38" s="2" t="s">
        <v>97</v>
      </c>
      <c r="C38" s="3">
        <v>45478</v>
      </c>
      <c r="D38" s="2" t="s">
        <v>98</v>
      </c>
      <c r="E38" s="2">
        <v>1</v>
      </c>
      <c r="F38" s="2">
        <v>5</v>
      </c>
      <c r="G38" s="2">
        <f>Table2[[#This Row],[Verdi]]*(6-Table2[[#This Row],[Tidsestimat]])</f>
        <v>25</v>
      </c>
      <c r="H38" s="2" t="s">
        <v>99</v>
      </c>
      <c r="I38" s="2" t="s">
        <v>31</v>
      </c>
    </row>
    <row r="39" spans="1:9" ht="15">
      <c r="B39" s="2" t="s">
        <v>100</v>
      </c>
      <c r="C39" s="3">
        <v>45419</v>
      </c>
      <c r="D39" s="2" t="s">
        <v>101</v>
      </c>
      <c r="G39" s="2">
        <f>Table2[[#This Row],[Verdi]]*(6-Table2[[#This Row],[Tidsestimat]])</f>
        <v>0</v>
      </c>
    </row>
    <row r="40" spans="1:9" ht="15">
      <c r="B40" s="2" t="s">
        <v>102</v>
      </c>
      <c r="C40" s="3">
        <v>45419</v>
      </c>
      <c r="D40" s="2" t="s">
        <v>103</v>
      </c>
      <c r="G40" s="2">
        <f>Table2[[#This Row],[Verdi]]*(6-Table2[[#This Row],[Tidsestimat]])</f>
        <v>0</v>
      </c>
    </row>
    <row r="41" spans="1:9">
      <c r="G41" s="2">
        <f>Table2[[#This Row],[Verdi]]*(6-Table2[[#This Row],[Tidsestimat]])</f>
        <v>0</v>
      </c>
    </row>
    <row r="42" spans="1:9">
      <c r="G42" s="2">
        <f>Table2[[#This Row],[Verdi]]*(6-Table2[[#This Row],[Tidsestimat]])</f>
        <v>0</v>
      </c>
    </row>
    <row r="43" spans="1:9">
      <c r="G43" s="2">
        <f>Table2[[#This Row],[Verdi]]*(6-Table2[[#This Row],[Tidsestimat]])</f>
        <v>0</v>
      </c>
    </row>
    <row r="44" spans="1:9">
      <c r="G44" s="2">
        <f>Table2[[#This Row],[Verdi]]*(6-Table2[[#This Row],[Tidsestimat]])</f>
        <v>0</v>
      </c>
    </row>
    <row r="45" spans="1:9">
      <c r="G45" s="2">
        <f>Table2[[#This Row],[Verdi]]*(6-Table2[[#This Row],[Tidsestimat]])</f>
        <v>0</v>
      </c>
    </row>
    <row r="46" spans="1:9">
      <c r="G46" s="2">
        <f>Table2[[#This Row],[Verdi]]*(6-Table2[[#This Row],[Tidsestimat]])</f>
        <v>0</v>
      </c>
    </row>
    <row r="47" spans="1:9">
      <c r="G47" s="2">
        <f>Table2[[#This Row],[Verdi]]*(6-Table2[[#This Row],[Tidsestimat]])</f>
        <v>0</v>
      </c>
    </row>
    <row r="48" spans="1:9">
      <c r="G48" s="2">
        <f>Table2[[#This Row],[Verdi]]*(6-Table2[[#This Row],[Tidsestimat]])</f>
        <v>0</v>
      </c>
    </row>
    <row r="49" spans="7:7">
      <c r="G49" s="2">
        <f>Table2[[#This Row],[Verdi]]*(6-Table2[[#This Row],[Tidsestimat]])</f>
        <v>0</v>
      </c>
    </row>
    <row r="50" spans="7:7">
      <c r="G50" s="2">
        <f>Table2[[#This Row],[Verdi]]*(6-Table2[[#This Row],[Tidsestimat]])</f>
        <v>0</v>
      </c>
    </row>
    <row r="51" spans="7:7">
      <c r="G51" s="2">
        <f>Table2[[#This Row],[Verdi]]*(6-Table2[[#This Row],[Tidsestimat]])</f>
        <v>0</v>
      </c>
    </row>
    <row r="52" spans="7:7">
      <c r="G52" s="2">
        <f>Table2[[#This Row],[Verdi]]*(6-Table2[[#This Row],[Tidsestimat]])</f>
        <v>0</v>
      </c>
    </row>
    <row r="53" spans="7:7">
      <c r="G53" s="2">
        <f>Table2[[#This Row],[Verdi]]*(6-Table2[[#This Row],[Tidsestimat]])</f>
        <v>0</v>
      </c>
    </row>
    <row r="54" spans="7:7">
      <c r="G54" s="2">
        <f>Table2[[#This Row],[Verdi]]*(6-Table2[[#This Row],[Tidsestimat]])</f>
        <v>0</v>
      </c>
    </row>
    <row r="55" spans="7:7">
      <c r="G55" s="2">
        <f>Table2[[#This Row],[Verdi]]*(6-Table2[[#This Row],[Tidsestimat]])</f>
        <v>0</v>
      </c>
    </row>
    <row r="56" spans="7:7">
      <c r="G56" s="2">
        <f>Table2[[#This Row],[Verdi]]*(6-Table2[[#This Row],[Tidsestimat]])</f>
        <v>0</v>
      </c>
    </row>
    <row r="57" spans="7:7">
      <c r="G57" s="2">
        <f>Table2[[#This Row],[Verdi]]*(6-Table2[[#This Row],[Tidsestimat]])</f>
        <v>0</v>
      </c>
    </row>
    <row r="58" spans="7:7">
      <c r="G58" s="2">
        <f>Table2[[#This Row],[Verdi]]*(6-Table2[[#This Row],[Tidsestimat]])</f>
        <v>0</v>
      </c>
    </row>
    <row r="59" spans="7:7">
      <c r="G59" s="2">
        <f>Table2[[#This Row],[Verdi]]*(6-Table2[[#This Row],[Tidsestimat]])</f>
        <v>0</v>
      </c>
    </row>
    <row r="60" spans="7:7">
      <c r="G60" s="2">
        <f>Table2[[#This Row],[Verdi]]*(6-Table2[[#This Row],[Tidsestimat]])</f>
        <v>0</v>
      </c>
    </row>
    <row r="61" spans="7:7">
      <c r="G61" s="2">
        <f>Table2[[#This Row],[Verdi]]*(6-Table2[[#This Row],[Tidsestimat]])</f>
        <v>0</v>
      </c>
    </row>
    <row r="62" spans="7:7">
      <c r="G62" s="2">
        <f>Table2[[#This Row],[Verdi]]*(6-Table2[[#This Row],[Tidsestimat]])</f>
        <v>0</v>
      </c>
    </row>
    <row r="63" spans="7:7">
      <c r="G63" s="2">
        <f>Table2[[#This Row],[Verdi]]*(6-Table2[[#This Row],[Tidsestimat]])</f>
        <v>0</v>
      </c>
    </row>
    <row r="64" spans="7:7">
      <c r="G64" s="2">
        <f>Table2[[#This Row],[Verdi]]*(6-Table2[[#This Row],[Tidsestimat]])</f>
        <v>0</v>
      </c>
    </row>
    <row r="65" spans="7:7">
      <c r="G65" s="2">
        <f>Table2[[#This Row],[Verdi]]*(6-Table2[[#This Row],[Tidsestimat]])</f>
        <v>0</v>
      </c>
    </row>
    <row r="66" spans="7:7">
      <c r="G66" s="2">
        <f>Table2[[#This Row],[Verdi]]*(6-Table2[[#This Row],[Tidsestimat]])</f>
        <v>0</v>
      </c>
    </row>
    <row r="67" spans="7:7">
      <c r="G67" s="2">
        <f>Table2[[#This Row],[Verdi]]*(6-Table2[[#This Row],[Tidsestimat]])</f>
        <v>0</v>
      </c>
    </row>
    <row r="68" spans="7:7">
      <c r="G68" s="2">
        <f>Table2[[#This Row],[Verdi]]*(6-Table2[[#This Row],[Tidsestimat]])</f>
        <v>0</v>
      </c>
    </row>
    <row r="69" spans="7:7">
      <c r="G69" s="2">
        <f>Table2[[#This Row],[Verdi]]*(6-Table2[[#This Row],[Tidsestimat]])</f>
        <v>0</v>
      </c>
    </row>
  </sheetData>
  <conditionalFormatting sqref="D70:D1048576 E1:E69">
    <cfRule type="colorScale" priority="8">
      <colorScale>
        <cfvo type="num" val="1"/>
        <cfvo type="num" val="3"/>
        <cfvo type="num" val="5"/>
        <color rgb="FF00B050"/>
        <color rgb="FFFFFF00"/>
        <color rgb="FFFF0000"/>
      </colorScale>
    </cfRule>
  </conditionalFormatting>
  <conditionalFormatting sqref="F1:F1048576">
    <cfRule type="colorScale" priority="2">
      <colorScale>
        <cfvo type="num" val="1"/>
        <cfvo type="num" val="3"/>
        <cfvo type="num" val="5"/>
        <color rgb="FFFF0000"/>
        <color rgb="FFFFFF00"/>
        <color rgb="FF00B050"/>
      </colorScale>
    </cfRule>
  </conditionalFormatting>
  <conditionalFormatting sqref="G1:G1048576">
    <cfRule type="colorScale" priority="1">
      <colorScale>
        <cfvo type="num" val="1"/>
        <cfvo type="num" val="13"/>
        <cfvo type="num" val="25"/>
        <color rgb="FFFF0000"/>
        <color rgb="FFFFFF00"/>
        <color rgb="FF00B050"/>
      </colorScale>
    </cfRule>
  </conditionalFormatting>
  <conditionalFormatting sqref="H70:H1048576 I1:I69">
    <cfRule type="containsText" dxfId="14" priority="3" operator="containsText" text="Ferdig">
      <formula>NOT(ISERROR(SEARCH("Ferdig",H1)))</formula>
    </cfRule>
    <cfRule type="containsText" dxfId="13" priority="4" operator="containsText" text="Kvalitetssjekker">
      <formula>NOT(ISERROR(SEARCH("Kvalitetssjekker",H1)))</formula>
    </cfRule>
    <cfRule type="containsText" dxfId="12" priority="5" operator="containsText" text="Påbegynt">
      <formula>NOT(ISERROR(SEARCH("Påbegynt",H1)))</formula>
    </cfRule>
    <cfRule type="containsText" dxfId="11" priority="6" operator="containsText" text="Ikke startet">
      <formula>NOT(ISERROR(SEARCH("Ikke startet",H1)))</formula>
    </cfRule>
  </conditionalFormatting>
  <pageMargins left="0.7" right="0.7" top="0.75" bottom="0.75" header="0.3" footer="0.3"/>
  <pageSetup paperSize="0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42E1DDE-A55B-42B8-AE38-7FCD382E5CB4}">
          <x14:formula1>
            <xm:f>Dropdown!$A$2:$A$5</xm:f>
          </x14:formula1>
          <xm:sqref>I2:I69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6FAD7-E5B1-4338-BBF3-D97FC5D8B713}">
  <dimension ref="A1:A5"/>
  <sheetViews>
    <sheetView workbookViewId="0">
      <selection activeCell="D5" sqref="D5"/>
    </sheetView>
  </sheetViews>
  <sheetFormatPr defaultRowHeight="14.45"/>
  <cols>
    <col min="1" max="1" width="12.85546875" customWidth="1"/>
  </cols>
  <sheetData>
    <row r="1" spans="1:1">
      <c r="A1" t="s">
        <v>8</v>
      </c>
    </row>
    <row r="2" spans="1:1">
      <c r="A2" t="s">
        <v>16</v>
      </c>
    </row>
    <row r="3" spans="1:1">
      <c r="A3" t="s">
        <v>31</v>
      </c>
    </row>
    <row r="4" spans="1:1">
      <c r="A4" t="s">
        <v>12</v>
      </c>
    </row>
    <row r="5" spans="1:1">
      <c r="A5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EF763-F1F9-4E48-92CF-E0D6D59A87A4}">
  <dimension ref="A1"/>
  <sheetViews>
    <sheetView workbookViewId="0"/>
  </sheetViews>
  <sheetFormatPr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92797F43A1AA41A73B6984EE5F6563" ma:contentTypeVersion="13" ma:contentTypeDescription="Create a new document." ma:contentTypeScope="" ma:versionID="b91504213670c49cd74b42f5f4707c67">
  <xsd:schema xmlns:xsd="http://www.w3.org/2001/XMLSchema" xmlns:xs="http://www.w3.org/2001/XMLSchema" xmlns:p="http://schemas.microsoft.com/office/2006/metadata/properties" xmlns:ns2="1583ab8d-8bf9-4e4b-9234-373895614aa2" xmlns:ns3="eebcfce1-5823-48d2-ad4a-6ffd98389b0d" targetNamespace="http://schemas.microsoft.com/office/2006/metadata/properties" ma:root="true" ma:fieldsID="07ecd03aefc2d711b1fc489d2e5527e1" ns2:_="" ns3:_="">
    <xsd:import namespace="1583ab8d-8bf9-4e4b-9234-373895614aa2"/>
    <xsd:import namespace="eebcfce1-5823-48d2-ad4a-6ffd98389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83ab8d-8bf9-4e4b-9234-373895614a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90f9247-10a2-44e6-a579-5446f749d1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bcfce1-5823-48d2-ad4a-6ffd98389b0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e2ef1c7-27ce-40b9-956e-8907e4257748}" ma:internalName="TaxCatchAll" ma:showField="CatchAllData" ma:web="eebcfce1-5823-48d2-ad4a-6ffd98389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ebcfce1-5823-48d2-ad4a-6ffd98389b0d" xsi:nil="true"/>
    <lcf76f155ced4ddcb4097134ff3c332f xmlns="1583ab8d-8bf9-4e4b-9234-373895614aa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CC2D25D-81B8-40C8-8659-473D8AD6C951}"/>
</file>

<file path=customXml/itemProps2.xml><?xml version="1.0" encoding="utf-8"?>
<ds:datastoreItem xmlns:ds="http://schemas.openxmlformats.org/officeDocument/2006/customXml" ds:itemID="{8E4A2FF4-27BC-4390-83A4-30882717429E}"/>
</file>

<file path=customXml/itemProps3.xml><?xml version="1.0" encoding="utf-8"?>
<ds:datastoreItem xmlns:ds="http://schemas.openxmlformats.org/officeDocument/2006/customXml" ds:itemID="{87F68817-48D9-4E1D-A20F-2DF1F6801FED}"/>
</file>

<file path=docMetadata/LabelInfo.xml><?xml version="1.0" encoding="utf-8"?>
<clbl:labelList xmlns:clbl="http://schemas.microsoft.com/office/2020/mipLabelMetadata">
  <clbl:label id="{8c3d8a03-6c4f-48cf-a1a6-1b38e749645c}" enabled="1" method="Standard" siteId="{44b5383f-aeed-4959-a674-24d907b9396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Krogenes, Simen Enok</cp:lastModifiedBy>
  <cp:revision/>
  <dcterms:created xsi:type="dcterms:W3CDTF">2024-06-18T08:49:36Z</dcterms:created>
  <dcterms:modified xsi:type="dcterms:W3CDTF">2024-07-04T07:28:10Z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0x0101004A92797F43A1AA41A73B6984EE5F6563</vt:lpwstr>
  </property>
</Properties>
</file>