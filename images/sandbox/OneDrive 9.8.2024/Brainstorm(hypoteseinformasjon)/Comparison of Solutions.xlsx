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https://storebrand.sharepoint.com/sites/TeamBM/Shared Documents/General/Admin/"/>
    </mc:Choice>
  </mc:AlternateContent>
  <xr:revisionPtr revIDLastSave="186" documentId="11_0AFF0A8576D2F65626378A3D89C49CABE8CD428D" xr6:coauthVersionLast="47" xr6:coauthVersionMax="47" xr10:uidLastSave="{7139B8DB-4A54-4436-9CD0-568A8A21A88B}"/>
  <bookViews>
    <workbookView xWindow="-110" yWindow="-110" windowWidth="19420" windowHeight="11500" xr2:uid="{00000000-000D-0000-FFFF-FFFF00000000}"/>
  </bookViews>
  <sheets>
    <sheet name="Value Esti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<sst xmlns="http://schemas.openxmlformats.org/spreadsheetml/2006/main" count="24" uniqueCount="21">
  <si>
    <t>User / Business Value</t>
  </si>
  <si>
    <t>Time criticality</t>
  </si>
  <si>
    <t>Risk mitigation impact</t>
  </si>
  <si>
    <t>Ratio</t>
  </si>
  <si>
    <t>Task size</t>
  </si>
  <si>
    <t xml:space="preserve">Scale --&gt; </t>
  </si>
  <si>
    <t>Sum</t>
  </si>
  <si>
    <t>Fibonacci</t>
  </si>
  <si>
    <t>Solution id &amp; description</t>
  </si>
  <si>
    <t>Cost of Delay</t>
  </si>
  <si>
    <t>Weighted Shortest Job First (WSJF)</t>
  </si>
  <si>
    <t>Forbedre onboardingen i bedriftsportalen</t>
  </si>
  <si>
    <t>Gamification og belønning av "flinke" kunder</t>
  </si>
  <si>
    <t>Alt-i-et løsning som kobler opp kundeportefølje med regnskapsprogram og andre integrasjoner med bedriftsportalen</t>
  </si>
  <si>
    <t>Varslinger og markedsføring til kunde på mail - med valgbarhet i portalen</t>
  </si>
  <si>
    <t>Oversiktsside /  hub med nødvendig informasjon og mulighet til å utvide for mer 
visuell informasjon</t>
  </si>
  <si>
    <t>Sammenkobling av BP og BV og direkte veifinding mellom portalene og 
automatisk overføring av informasjon</t>
  </si>
  <si>
    <t>Mobilløsning med hovedfunksjonalitet</t>
  </si>
  <si>
    <t>Wiki, Q&amp;A og hjelpe-knapper på plattformen (kontinuerlig hjelp)</t>
  </si>
  <si>
    <t>Plattform tilpasser seg automatisk kundens behov (basert på segment)</t>
  </si>
  <si>
    <t>Enklere og valgbart UI og for kundene (enkel og full versjon av hub)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</si>
</sst>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Font="1" applyAlignment="1">
      <alignment wrapText="1"/>
    </xf>
    <xf numFmtId="0" fontId="1" fillId="0" borderId="0" xfId="0" applyFont="1"/>
    <xf numFmtId="172" fontId="0" fillId="0" borderId="0" xfId="0" applyNumberFormat="1" applyFont="1" applyAlignment="1">
      <alignment wrapText="1"/>
    </xf>
    <xf numFmtId="17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C69C42-706A-4E49-8200-A38C7A6AC9D2}" name="Table1" displayName="Table1" ref="A2:G13" totalsRowShown="0" headerRowDxfId="2">
  <autoFilter ref="A2:G13" xr:uid="{A8C69C42-706A-4E49-8200-A38C7A6AC9D2}"/>
  <tableColumns count="7">
    <tableColumn id="1" xr3:uid="{777DF2CB-95BF-4569-B765-4B752518AB91}" name="Solution id &amp; description"/>
    <tableColumn id="2" xr3:uid="{9DFF75C2-1627-4F10-9E31-8B82A0ACA3CC}" name="User / Business Value"/>
    <tableColumn id="3" xr3:uid="{E522DD24-20FC-4BEE-BEDA-A6E65274051D}" name="Time criticality"/>
    <tableColumn id="4" xr3:uid="{ADADFE01-6D19-49CD-8FB9-12D7314F1581}" name="Risk mitigation impact"/>
    <tableColumn id="5" xr3:uid="{AC7A1C5A-2944-41FA-AA2C-60610199B758}" name="Cost of Delay" dataDxfId="1">
      <calculatedColumnFormula>SUM(Table1[[#This Row],[User / Business Value]:[Risk mitigation impact]])</calculatedColumnFormula>
    </tableColumn>
    <tableColumn id="6" xr3:uid="{DC272822-FA1C-4D51-859B-86132D4C781F}" name="Task size"/>
    <tableColumn id="7" xr3:uid="{305E48CE-409B-495D-9DF0-89FAE383E220}" name="Weighted Shortest Job First (WSJF)" dataDxfId="0">
      <calculatedColumnFormula>Table1[[#This Row],[Cost of Delay]]/Table1[[#This Row],[Task size]]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6" sqref="A6"/>
    </sheetView>
  </sheetViews>
  <sheetFormatPr defaultRowHeight="14.5" x14ac:dyDescent="0.35"/>
  <cols>
    <col min="1" max="1" width="69.81640625" customWidth="1"/>
    <col min="2" max="2" width="17.453125" customWidth="1"/>
    <col min="3" max="3" width="13.08984375" customWidth="1"/>
    <col min="4" max="4" width="17.453125" customWidth="1"/>
    <col min="5" max="6" width="13.08984375" customWidth="1"/>
    <col min="7" max="7" width="10.90625" customWidth="1"/>
  </cols>
  <sheetData>
    <row r="1" spans="1:7" x14ac:dyDescent="0.35">
      <c r="A1" t="s">
        <v>5</v>
      </c>
      <c r="B1" t="s">
        <v>7</v>
      </c>
      <c r="C1" t="s">
        <v>7</v>
      </c>
      <c r="D1" t="s">
        <v>7</v>
      </c>
      <c r="E1" t="s">
        <v>6</v>
      </c>
      <c r="F1" t="s">
        <v>7</v>
      </c>
      <c r="G1" t="s">
        <v>3</v>
      </c>
    </row>
    <row r="2" spans="1:7" ht="43.5" x14ac:dyDescent="0.35">
      <c r="A2" s="1" t="s">
        <v>8</v>
      </c>
      <c r="B2" s="1" t="s">
        <v>0</v>
      </c>
      <c r="C2" s="1" t="s">
        <v>1</v>
      </c>
      <c r="D2" s="1" t="s">
        <v>2</v>
      </c>
      <c r="E2" s="1" t="s">
        <v>9</v>
      </c>
      <c r="F2" s="1" t="s">
        <v>4</v>
      </c>
      <c r="G2" s="1" t="s">
        <v>10</v>
      </c>
    </row>
    <row r="3" spans="1:7" x14ac:dyDescent="0.35">
      <c r="A3" t="s">
        <v>11</v>
      </c>
      <c r="B3" s="1">
        <v>3</v>
      </c>
      <c r="C3" s="1">
        <v>5</v>
      </c>
      <c r="D3" s="1">
        <v>5</v>
      </c>
      <c r="E3" s="4">
        <f>SUM(Table1[[#This Row],[User / Business Value]:[Risk mitigation impact]])</f>
        <v>13</v>
      </c>
      <c r="F3" s="4">
        <v>1</v>
      </c>
      <c r="G3" s="6">
        <f>Table1[[#This Row],[Cost of Delay]]/Table1[[#This Row],[Task size]]</f>
        <v>13</v>
      </c>
    </row>
    <row r="4" spans="1:7" x14ac:dyDescent="0.35">
      <c r="A4" t="s">
        <v>12</v>
      </c>
      <c r="B4" s="5">
        <v>2</v>
      </c>
      <c r="C4" s="5">
        <v>3</v>
      </c>
      <c r="D4" s="5">
        <v>3</v>
      </c>
      <c r="E4">
        <f>SUM(Table1[[#This Row],[User / Business Value]:[Risk mitigation impact]])</f>
        <v>8</v>
      </c>
      <c r="F4">
        <v>5</v>
      </c>
      <c r="G4" s="7">
        <f>Table1[[#This Row],[Cost of Delay]]/Table1[[#This Row],[Task size]]</f>
        <v>1.6</v>
      </c>
    </row>
    <row r="5" spans="1:7" x14ac:dyDescent="0.35">
      <c r="A5" t="s">
        <v>18</v>
      </c>
      <c r="B5" s="5">
        <v>8</v>
      </c>
      <c r="C5" s="5">
        <v>5</v>
      </c>
      <c r="D5" s="5">
        <v>8</v>
      </c>
      <c r="E5">
        <f>SUM(Table1[[#This Row],[User / Business Value]:[Risk mitigation impact]])</f>
        <v>21</v>
      </c>
      <c r="F5">
        <v>5</v>
      </c>
      <c r="G5" s="7">
        <f>Table1[[#This Row],[Cost of Delay]]/Table1[[#This Row],[Task size]]</f>
        <v>4.2</v>
      </c>
    </row>
    <row r="6" spans="1:7" ht="29" x14ac:dyDescent="0.35">
      <c r="A6" s="2" t="s">
        <v>13</v>
      </c>
      <c r="B6" s="5">
        <v>21</v>
      </c>
      <c r="C6" s="5">
        <v>5</v>
      </c>
      <c r="D6" s="5">
        <v>1</v>
      </c>
      <c r="E6">
        <f>SUM(Table1[[#This Row],[User / Business Value]:[Risk mitigation impact]])</f>
        <v>27</v>
      </c>
      <c r="F6">
        <v>21</v>
      </c>
      <c r="G6" s="7">
        <f>Table1[[#This Row],[Cost of Delay]]/Table1[[#This Row],[Task size]]</f>
        <v>1.2857142857142858</v>
      </c>
    </row>
    <row r="7" spans="1:7" x14ac:dyDescent="0.35">
      <c r="A7" t="s">
        <v>14</v>
      </c>
      <c r="B7" s="5">
        <v>13</v>
      </c>
      <c r="C7" s="5">
        <v>21</v>
      </c>
      <c r="D7" s="5">
        <v>21</v>
      </c>
      <c r="E7">
        <f>SUM(Table1[[#This Row],[User / Business Value]:[Risk mitigation impact]])</f>
        <v>55</v>
      </c>
      <c r="F7">
        <v>2</v>
      </c>
      <c r="G7" s="7">
        <f>Table1[[#This Row],[Cost of Delay]]/Table1[[#This Row],[Task size]]</f>
        <v>27.5</v>
      </c>
    </row>
    <row r="8" spans="1:7" ht="29" x14ac:dyDescent="0.35">
      <c r="A8" s="2" t="s">
        <v>15</v>
      </c>
      <c r="B8" s="5">
        <v>1</v>
      </c>
      <c r="C8" s="5">
        <v>2</v>
      </c>
      <c r="D8" s="5">
        <v>8</v>
      </c>
      <c r="E8">
        <f>SUM(Table1[[#This Row],[User / Business Value]:[Risk mitigation impact]])</f>
        <v>11</v>
      </c>
      <c r="F8">
        <v>3</v>
      </c>
      <c r="G8" s="7">
        <f>Table1[[#This Row],[Cost of Delay]]/Table1[[#This Row],[Task size]]</f>
        <v>3.6666666666666665</v>
      </c>
    </row>
    <row r="9" spans="1:7" ht="29" x14ac:dyDescent="0.35">
      <c r="A9" s="2" t="s">
        <v>16</v>
      </c>
      <c r="B9" s="5">
        <v>13</v>
      </c>
      <c r="C9" s="5">
        <v>13</v>
      </c>
      <c r="D9" s="5">
        <v>13</v>
      </c>
      <c r="E9">
        <f>SUM(Table1[[#This Row],[User / Business Value]:[Risk mitigation impact]])</f>
        <v>39</v>
      </c>
      <c r="F9">
        <v>8</v>
      </c>
      <c r="G9" s="7">
        <f>Table1[[#This Row],[Cost of Delay]]/Table1[[#This Row],[Task size]]</f>
        <v>4.875</v>
      </c>
    </row>
    <row r="10" spans="1:7" x14ac:dyDescent="0.35">
      <c r="A10" t="s">
        <v>20</v>
      </c>
      <c r="B10" s="5">
        <v>8</v>
      </c>
      <c r="C10" s="5">
        <v>1</v>
      </c>
      <c r="D10" s="5">
        <v>3</v>
      </c>
      <c r="E10">
        <f>SUM(Table1[[#This Row],[User / Business Value]:[Risk mitigation impact]])</f>
        <v>12</v>
      </c>
      <c r="F10">
        <v>5</v>
      </c>
      <c r="G10" s="7">
        <f>Table1[[#This Row],[Cost of Delay]]/Table1[[#This Row],[Task size]]</f>
        <v>2.4</v>
      </c>
    </row>
    <row r="11" spans="1:7" x14ac:dyDescent="0.35">
      <c r="A11" t="s">
        <v>17</v>
      </c>
      <c r="B11" s="5">
        <v>13</v>
      </c>
      <c r="C11" s="5">
        <v>8</v>
      </c>
      <c r="D11" s="5">
        <v>8</v>
      </c>
      <c r="E11">
        <f>SUM(Table1[[#This Row],[User / Business Value]:[Risk mitigation impact]])</f>
        <v>29</v>
      </c>
      <c r="F11">
        <v>5</v>
      </c>
      <c r="G11" s="7">
        <f>Table1[[#This Row],[Cost of Delay]]/Table1[[#This Row],[Task size]]</f>
        <v>5.8</v>
      </c>
    </row>
    <row r="12" spans="1:7" x14ac:dyDescent="0.35">
      <c r="A12" t="s">
        <v>19</v>
      </c>
      <c r="B12" s="5">
        <v>21</v>
      </c>
      <c r="C12" s="5">
        <v>8</v>
      </c>
      <c r="D12" s="5">
        <v>13</v>
      </c>
      <c r="E12">
        <f>SUM(Table1[[#This Row],[User / Business Value]:[Risk mitigation impact]])</f>
        <v>42</v>
      </c>
      <c r="F12">
        <v>8</v>
      </c>
      <c r="G12" s="7">
        <f>Table1[[#This Row],[Cost of Delay]]/Table1[[#This Row],[Task size]]</f>
        <v>5.25</v>
      </c>
    </row>
    <row r="13" spans="1:7" ht="187.5" customHeight="1" x14ac:dyDescent="0.35">
      <c r="A13" t="e" vm="1">
        <v>#VALUE!</v>
      </c>
      <c r="E13" s="3"/>
      <c r="G13" s="3"/>
    </row>
    <row r="18" ht="268.5" customHeight="1" x14ac:dyDescent="0.35"/>
  </sheetData>
  <conditionalFormatting sqref="G1:G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64AD5-3919-407F-82CF-58D4BB004893}">
  <ds:schemaRefs>
    <ds:schemaRef ds:uri="http://purl.org/dc/dcmitype/"/>
    <ds:schemaRef ds:uri="http://schemas.microsoft.com/office/2006/metadata/properties"/>
    <ds:schemaRef ds:uri="http://www.w3.org/XML/1998/namespace"/>
    <ds:schemaRef ds:uri="1583ab8d-8bf9-4e4b-9234-373895614aa2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eebcfce1-5823-48d2-ad4a-6ffd98389b0d"/>
  </ds:schemaRefs>
</ds:datastoreItem>
</file>

<file path=customXml/itemProps2.xml><?xml version="1.0" encoding="utf-8"?>
<ds:datastoreItem xmlns:ds="http://schemas.openxmlformats.org/officeDocument/2006/customXml" ds:itemID="{91FC6C52-4A61-4BDB-ADEF-8ED7A39F27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6B6504-8CF2-46B9-A563-D3553884E357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Estimation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Næss, Didrik</cp:lastModifiedBy>
  <cp:revision/>
  <dcterms:created xsi:type="dcterms:W3CDTF">2024-07-01T06:12:27Z</dcterms:created>
  <dcterms:modified xsi:type="dcterms:W3CDTF">2024-07-04T10:44:36Z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