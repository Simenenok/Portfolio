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/>
  <mc:AlternateContent xmlns:mc="http://schemas.openxmlformats.org/markup-compatibility/2006">
    <mc:Choice Requires="x15">
      <x15ac:absPath xmlns:x15ac="http://schemas.microsoft.com/office/spreadsheetml/2010/11/ac" url="https://storebrand.sharepoint.com/sites/TeamBM/Shared Documents/General/Brukertester_personalisering/"/>
    </mc:Choice>
  </mc:AlternateContent>
  <xr:revisionPtr revIDLastSave="75" documentId="8_{0E09A87E-B277-4EDE-9487-7DB0765D64DD}" xr6:coauthVersionLast="47" xr6:coauthVersionMax="47" xr10:uidLastSave="{3757CC9F-1C27-4279-B8CF-FEA107ADA248}"/>
  <bookViews>
    <workbookView xWindow="28680" yWindow="-120" windowWidth="38640" windowHeight="21120" firstSheet="1" activeTab="1" xr2:uid="{B7B8A13E-5C83-4431-8E48-87C35D6F15DD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E7" i="1" l="1"/>
  <c r="G69" i="1" l="1"/>
  <c r="G58" i="1"/>
  <c r="G70" i="1"/>
  <c r="G59" i="1"/>
  <c r="G54" i="1"/>
  <c r="G60" i="1"/>
  <c r="G55" i="1"/>
  <c r="G61" i="1"/>
  <c r="G56" i="1"/>
  <c r="G62" i="1"/>
  <c r="G57" i="1"/>
  <c r="G63" i="1"/>
  <c r="G53" i="1"/>
  <c r="G64" i="1"/>
  <c r="G49" i="1"/>
  <c r="G65" i="1"/>
  <c r="G50" i="1"/>
  <c r="G66" i="1"/>
  <c r="G51" i="1"/>
  <c r="G67" i="1"/>
  <c r="G52" i="1"/>
  <c r="G68" i="1"/>
  <c r="G48" i="1"/>
</calcChain>
</file>

<file path=xl/sharedStrings.xml><?xml version="1.0" encoding="utf-8"?>
<sst xmlns="http://schemas.openxmlformats.org/spreadsheetml/2006/main" count="7" uniqueCount="5">
  <si>
    <t xml:space="preserve">67 år </t>
  </si>
  <si>
    <t xml:space="preserve">Fødselsdato </t>
  </si>
  <si>
    <t>År</t>
  </si>
  <si>
    <t>Utbetaling</t>
  </si>
  <si>
    <t>25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</si>
</sst>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_-* #,##0.0_-;\-* #,##0.0_-;_-* &quot;-&quot;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0" fontId="0" fillId="0" borderId="0" xfId="2" applyNumberFormat="1" applyFont="1"/>
    <xf numFmtId="9" fontId="0" fillId="0" borderId="0" xfId="0" applyNumberFormat="1"/>
    <xf numFmtId="167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7" formatCode="_-* #,##0.0_-;\-* #,##0.0_-;_-* &quot;-&quot;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Lønns og pensjonsutbetaling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761254331603025E-2"/>
          <c:y val="0.14335705059466158"/>
          <c:w val="0.8872547740870913"/>
          <c:h val="0.72183617672790901"/>
        </c:manualLayout>
      </c:layout>
      <c:lineChart>
        <c:grouping val="standard"/>
        <c:varyColors val="0"/>
        <c:ser>
          <c:idx val="2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>
                  <a:tint val="86000"/>
                </a:schemeClr>
              </a:outerShdw>
            </a:effectLst>
          </c:spPr>
          <c:marker>
            <c:symbol val="none"/>
          </c:marker>
          <c:cat>
            <c:numRef>
              <c:f>Sheet1!$F$3:$F$70</c:f>
              <c:numCache>
                <c:formatCode>General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Sheet1!$G$3:$G$70</c:f>
              <c:numCache>
                <c:formatCode>_-* #,##0_-;\-* #,##0_-;_-* "-"??_-;_-@_-</c:formatCode>
                <c:ptCount val="68"/>
                <c:pt idx="0" formatCode="General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 formatCode="_-* #,##0.0_-;\-* #,##0.0_-;_-* &quot;-&quot;?_-;_-@_-">
                  <c:v>209542.23368832289</c:v>
                </c:pt>
                <c:pt idx="46" formatCode="_-* #,##0.0_-;\-* #,##0.0_-;_-* &quot;-&quot;?_-;_-@_-">
                  <c:v>209542.23368832289</c:v>
                </c:pt>
                <c:pt idx="47" formatCode="_-* #,##0.0_-;\-* #,##0.0_-;_-* &quot;-&quot;?_-;_-@_-">
                  <c:v>209542.23368832289</c:v>
                </c:pt>
                <c:pt idx="48" formatCode="_-* #,##0.0_-;\-* #,##0.0_-;_-* &quot;-&quot;?_-;_-@_-">
                  <c:v>209542.23368832289</c:v>
                </c:pt>
                <c:pt idx="49" formatCode="_-* #,##0.0_-;\-* #,##0.0_-;_-* &quot;-&quot;?_-;_-@_-">
                  <c:v>209542.23368832289</c:v>
                </c:pt>
                <c:pt idx="50" formatCode="_-* #,##0.0_-;\-* #,##0.0_-;_-* &quot;-&quot;?_-;_-@_-">
                  <c:v>163823.92815632516</c:v>
                </c:pt>
                <c:pt idx="51" formatCode="_-* #,##0.0_-;\-* #,##0.0_-;_-* &quot;-&quot;?_-;_-@_-">
                  <c:v>163823.92815632516</c:v>
                </c:pt>
                <c:pt idx="52" formatCode="_-* #,##0.0_-;\-* #,##0.0_-;_-* &quot;-&quot;?_-;_-@_-">
                  <c:v>163823.92815632516</c:v>
                </c:pt>
                <c:pt idx="53" formatCode="_-* #,##0.0_-;\-* #,##0.0_-;_-* &quot;-&quot;?_-;_-@_-">
                  <c:v>163823.92815632516</c:v>
                </c:pt>
                <c:pt idx="54" formatCode="_-* #,##0.0_-;\-* #,##0.0_-;_-* &quot;-&quot;?_-;_-@_-">
                  <c:v>163823.92815632516</c:v>
                </c:pt>
                <c:pt idx="55" formatCode="_-* #,##0.0_-;\-* #,##0.0_-;_-* &quot;-&quot;?_-;_-@_-">
                  <c:v>163823.92815632516</c:v>
                </c:pt>
                <c:pt idx="56" formatCode="_-* #,##0.0_-;\-* #,##0.0_-;_-* &quot;-&quot;?_-;_-@_-">
                  <c:v>163823.92815632516</c:v>
                </c:pt>
                <c:pt idx="57" formatCode="_-* #,##0.0_-;\-* #,##0.0_-;_-* &quot;-&quot;?_-;_-@_-">
                  <c:v>163823.92815632516</c:v>
                </c:pt>
                <c:pt idx="58" formatCode="_-* #,##0.0_-;\-* #,##0.0_-;_-* &quot;-&quot;?_-;_-@_-">
                  <c:v>163823.92815632516</c:v>
                </c:pt>
                <c:pt idx="59" formatCode="_-* #,##0.0_-;\-* #,##0.0_-;_-* &quot;-&quot;?_-;_-@_-">
                  <c:v>163823.92815632516</c:v>
                </c:pt>
                <c:pt idx="60" formatCode="_-* #,##0.0_-;\-* #,##0.0_-;_-* &quot;-&quot;?_-;_-@_-">
                  <c:v>163823.92815632516</c:v>
                </c:pt>
                <c:pt idx="61" formatCode="_-* #,##0.0_-;\-* #,##0.0_-;_-* &quot;-&quot;?_-;_-@_-">
                  <c:v>163823.92815632516</c:v>
                </c:pt>
                <c:pt idx="62" formatCode="_-* #,##0.0_-;\-* #,##0.0_-;_-* &quot;-&quot;?_-;_-@_-">
                  <c:v>163823.92815632516</c:v>
                </c:pt>
                <c:pt idx="63" formatCode="_-* #,##0.0_-;\-* #,##0.0_-;_-* &quot;-&quot;?_-;_-@_-">
                  <c:v>163823.92815632516</c:v>
                </c:pt>
                <c:pt idx="64" formatCode="_-* #,##0.0_-;\-* #,##0.0_-;_-* &quot;-&quot;?_-;_-@_-">
                  <c:v>163823.92815632516</c:v>
                </c:pt>
                <c:pt idx="65" formatCode="_-* #,##0.0_-;\-* #,##0.0_-;_-* &quot;-&quot;?_-;_-@_-">
                  <c:v>163823.92815632516</c:v>
                </c:pt>
                <c:pt idx="66" formatCode="_-* #,##0.0_-;\-* #,##0.0_-;_-* &quot;-&quot;?_-;_-@_-">
                  <c:v>163823.92815632516</c:v>
                </c:pt>
                <c:pt idx="67" formatCode="_-* #,##0.0_-;\-* #,##0.0_-;_-* &quot;-&quot;?_-;_-@_-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C4-4AC2-A520-004CE417931A}"/>
            </c:ext>
          </c:extLst>
        </c:ser>
        <c:ser>
          <c:idx val="3"/>
          <c:order val="1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Sheet1!$F$3:$F$70</c:f>
              <c:numCache>
                <c:formatCode>General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Sheet1!$G$3:$G$70</c:f>
              <c:numCache>
                <c:formatCode>_-* #,##0_-;\-* #,##0_-;_-* "-"??_-;_-@_-</c:formatCode>
                <c:ptCount val="68"/>
                <c:pt idx="0" formatCode="General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 formatCode="_-* #,##0.0_-;\-* #,##0.0_-;_-* &quot;-&quot;?_-;_-@_-">
                  <c:v>209542.23368832289</c:v>
                </c:pt>
                <c:pt idx="46" formatCode="_-* #,##0.0_-;\-* #,##0.0_-;_-* &quot;-&quot;?_-;_-@_-">
                  <c:v>209542.23368832289</c:v>
                </c:pt>
                <c:pt idx="47" formatCode="_-* #,##0.0_-;\-* #,##0.0_-;_-* &quot;-&quot;?_-;_-@_-">
                  <c:v>209542.23368832289</c:v>
                </c:pt>
                <c:pt idx="48" formatCode="_-* #,##0.0_-;\-* #,##0.0_-;_-* &quot;-&quot;?_-;_-@_-">
                  <c:v>209542.23368832289</c:v>
                </c:pt>
                <c:pt idx="49" formatCode="_-* #,##0.0_-;\-* #,##0.0_-;_-* &quot;-&quot;?_-;_-@_-">
                  <c:v>209542.23368832289</c:v>
                </c:pt>
                <c:pt idx="50" formatCode="_-* #,##0.0_-;\-* #,##0.0_-;_-* &quot;-&quot;?_-;_-@_-">
                  <c:v>163823.92815632516</c:v>
                </c:pt>
                <c:pt idx="51" formatCode="_-* #,##0.0_-;\-* #,##0.0_-;_-* &quot;-&quot;?_-;_-@_-">
                  <c:v>163823.92815632516</c:v>
                </c:pt>
                <c:pt idx="52" formatCode="_-* #,##0.0_-;\-* #,##0.0_-;_-* &quot;-&quot;?_-;_-@_-">
                  <c:v>163823.92815632516</c:v>
                </c:pt>
                <c:pt idx="53" formatCode="_-* #,##0.0_-;\-* #,##0.0_-;_-* &quot;-&quot;?_-;_-@_-">
                  <c:v>163823.92815632516</c:v>
                </c:pt>
                <c:pt idx="54" formatCode="_-* #,##0.0_-;\-* #,##0.0_-;_-* &quot;-&quot;?_-;_-@_-">
                  <c:v>163823.92815632516</c:v>
                </c:pt>
                <c:pt idx="55" formatCode="_-* #,##0.0_-;\-* #,##0.0_-;_-* &quot;-&quot;?_-;_-@_-">
                  <c:v>163823.92815632516</c:v>
                </c:pt>
                <c:pt idx="56" formatCode="_-* #,##0.0_-;\-* #,##0.0_-;_-* &quot;-&quot;?_-;_-@_-">
                  <c:v>163823.92815632516</c:v>
                </c:pt>
                <c:pt idx="57" formatCode="_-* #,##0.0_-;\-* #,##0.0_-;_-* &quot;-&quot;?_-;_-@_-">
                  <c:v>163823.92815632516</c:v>
                </c:pt>
                <c:pt idx="58" formatCode="_-* #,##0.0_-;\-* #,##0.0_-;_-* &quot;-&quot;?_-;_-@_-">
                  <c:v>163823.92815632516</c:v>
                </c:pt>
                <c:pt idx="59" formatCode="_-* #,##0.0_-;\-* #,##0.0_-;_-* &quot;-&quot;?_-;_-@_-">
                  <c:v>163823.92815632516</c:v>
                </c:pt>
                <c:pt idx="60" formatCode="_-* #,##0.0_-;\-* #,##0.0_-;_-* &quot;-&quot;?_-;_-@_-">
                  <c:v>163823.92815632516</c:v>
                </c:pt>
                <c:pt idx="61" formatCode="_-* #,##0.0_-;\-* #,##0.0_-;_-* &quot;-&quot;?_-;_-@_-">
                  <c:v>163823.92815632516</c:v>
                </c:pt>
                <c:pt idx="62" formatCode="_-* #,##0.0_-;\-* #,##0.0_-;_-* &quot;-&quot;?_-;_-@_-">
                  <c:v>163823.92815632516</c:v>
                </c:pt>
                <c:pt idx="63" formatCode="_-* #,##0.0_-;\-* #,##0.0_-;_-* &quot;-&quot;?_-;_-@_-">
                  <c:v>163823.92815632516</c:v>
                </c:pt>
                <c:pt idx="64" formatCode="_-* #,##0.0_-;\-* #,##0.0_-;_-* &quot;-&quot;?_-;_-@_-">
                  <c:v>163823.92815632516</c:v>
                </c:pt>
                <c:pt idx="65" formatCode="_-* #,##0.0_-;\-* #,##0.0_-;_-* &quot;-&quot;?_-;_-@_-">
                  <c:v>163823.92815632516</c:v>
                </c:pt>
                <c:pt idx="66" formatCode="_-* #,##0.0_-;\-* #,##0.0_-;_-* &quot;-&quot;?_-;_-@_-">
                  <c:v>163823.92815632516</c:v>
                </c:pt>
                <c:pt idx="67" formatCode="_-* #,##0.0_-;\-* #,##0.0_-;_-* &quot;-&quot;?_-;_-@_-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C4-4AC2-A520-004CE417931A}"/>
            </c:ext>
          </c:extLst>
        </c:ser>
        <c:ser>
          <c:idx val="1"/>
          <c:order val="2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>
                  <a:tint val="77000"/>
                </a:schemeClr>
              </a:outerShdw>
            </a:effectLst>
          </c:spPr>
          <c:marker>
            <c:symbol val="none"/>
          </c:marker>
          <c:cat>
            <c:numRef>
              <c:f>Sheet1!$F$3:$F$70</c:f>
              <c:numCache>
                <c:formatCode>General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Sheet1!$G$3:$G$70</c:f>
              <c:numCache>
                <c:formatCode>_-* #,##0_-;\-* #,##0_-;_-* "-"??_-;_-@_-</c:formatCode>
                <c:ptCount val="68"/>
                <c:pt idx="0" formatCode="General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 formatCode="_-* #,##0.0_-;\-* #,##0.0_-;_-* &quot;-&quot;?_-;_-@_-">
                  <c:v>209542.23368832289</c:v>
                </c:pt>
                <c:pt idx="46" formatCode="_-* #,##0.0_-;\-* #,##0.0_-;_-* &quot;-&quot;?_-;_-@_-">
                  <c:v>209542.23368832289</c:v>
                </c:pt>
                <c:pt idx="47" formatCode="_-* #,##0.0_-;\-* #,##0.0_-;_-* &quot;-&quot;?_-;_-@_-">
                  <c:v>209542.23368832289</c:v>
                </c:pt>
                <c:pt idx="48" formatCode="_-* #,##0.0_-;\-* #,##0.0_-;_-* &quot;-&quot;?_-;_-@_-">
                  <c:v>209542.23368832289</c:v>
                </c:pt>
                <c:pt idx="49" formatCode="_-* #,##0.0_-;\-* #,##0.0_-;_-* &quot;-&quot;?_-;_-@_-">
                  <c:v>209542.23368832289</c:v>
                </c:pt>
                <c:pt idx="50" formatCode="_-* #,##0.0_-;\-* #,##0.0_-;_-* &quot;-&quot;?_-;_-@_-">
                  <c:v>163823.92815632516</c:v>
                </c:pt>
                <c:pt idx="51" formatCode="_-* #,##0.0_-;\-* #,##0.0_-;_-* &quot;-&quot;?_-;_-@_-">
                  <c:v>163823.92815632516</c:v>
                </c:pt>
                <c:pt idx="52" formatCode="_-* #,##0.0_-;\-* #,##0.0_-;_-* &quot;-&quot;?_-;_-@_-">
                  <c:v>163823.92815632516</c:v>
                </c:pt>
                <c:pt idx="53" formatCode="_-* #,##0.0_-;\-* #,##0.0_-;_-* &quot;-&quot;?_-;_-@_-">
                  <c:v>163823.92815632516</c:v>
                </c:pt>
                <c:pt idx="54" formatCode="_-* #,##0.0_-;\-* #,##0.0_-;_-* &quot;-&quot;?_-;_-@_-">
                  <c:v>163823.92815632516</c:v>
                </c:pt>
                <c:pt idx="55" formatCode="_-* #,##0.0_-;\-* #,##0.0_-;_-* &quot;-&quot;?_-;_-@_-">
                  <c:v>163823.92815632516</c:v>
                </c:pt>
                <c:pt idx="56" formatCode="_-* #,##0.0_-;\-* #,##0.0_-;_-* &quot;-&quot;?_-;_-@_-">
                  <c:v>163823.92815632516</c:v>
                </c:pt>
                <c:pt idx="57" formatCode="_-* #,##0.0_-;\-* #,##0.0_-;_-* &quot;-&quot;?_-;_-@_-">
                  <c:v>163823.92815632516</c:v>
                </c:pt>
                <c:pt idx="58" formatCode="_-* #,##0.0_-;\-* #,##0.0_-;_-* &quot;-&quot;?_-;_-@_-">
                  <c:v>163823.92815632516</c:v>
                </c:pt>
                <c:pt idx="59" formatCode="_-* #,##0.0_-;\-* #,##0.0_-;_-* &quot;-&quot;?_-;_-@_-">
                  <c:v>163823.92815632516</c:v>
                </c:pt>
                <c:pt idx="60" formatCode="_-* #,##0.0_-;\-* #,##0.0_-;_-* &quot;-&quot;?_-;_-@_-">
                  <c:v>163823.92815632516</c:v>
                </c:pt>
                <c:pt idx="61" formatCode="_-* #,##0.0_-;\-* #,##0.0_-;_-* &quot;-&quot;?_-;_-@_-">
                  <c:v>163823.92815632516</c:v>
                </c:pt>
                <c:pt idx="62" formatCode="_-* #,##0.0_-;\-* #,##0.0_-;_-* &quot;-&quot;?_-;_-@_-">
                  <c:v>163823.92815632516</c:v>
                </c:pt>
                <c:pt idx="63" formatCode="_-* #,##0.0_-;\-* #,##0.0_-;_-* &quot;-&quot;?_-;_-@_-">
                  <c:v>163823.92815632516</c:v>
                </c:pt>
                <c:pt idx="64" formatCode="_-* #,##0.0_-;\-* #,##0.0_-;_-* &quot;-&quot;?_-;_-@_-">
                  <c:v>163823.92815632516</c:v>
                </c:pt>
                <c:pt idx="65" formatCode="_-* #,##0.0_-;\-* #,##0.0_-;_-* &quot;-&quot;?_-;_-@_-">
                  <c:v>163823.92815632516</c:v>
                </c:pt>
                <c:pt idx="66" formatCode="_-* #,##0.0_-;\-* #,##0.0_-;_-* &quot;-&quot;?_-;_-@_-">
                  <c:v>163823.92815632516</c:v>
                </c:pt>
                <c:pt idx="67" formatCode="_-* #,##0.0_-;\-* #,##0.0_-;_-* &quot;-&quot;?_-;_-@_-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C4-4AC2-A520-004CE417931A}"/>
            </c:ext>
          </c:extLst>
        </c:ser>
        <c:ser>
          <c:idx val="0"/>
          <c:order val="3"/>
          <c:spPr>
            <a:ln w="34925" cap="rnd">
              <a:solidFill>
                <a:schemeClr val="tx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Sheet1!$F$3:$F$70</c:f>
              <c:numCache>
                <c:formatCode>General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Sheet1!$G$3:$G$70</c:f>
              <c:numCache>
                <c:formatCode>_-* #,##0_-;\-* #,##0_-;_-* "-"??_-;_-@_-</c:formatCode>
                <c:ptCount val="68"/>
                <c:pt idx="0" formatCode="General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 formatCode="_-* #,##0.0_-;\-* #,##0.0_-;_-* &quot;-&quot;?_-;_-@_-">
                  <c:v>209542.23368832289</c:v>
                </c:pt>
                <c:pt idx="46" formatCode="_-* #,##0.0_-;\-* #,##0.0_-;_-* &quot;-&quot;?_-;_-@_-">
                  <c:v>209542.23368832289</c:v>
                </c:pt>
                <c:pt idx="47" formatCode="_-* #,##0.0_-;\-* #,##0.0_-;_-* &quot;-&quot;?_-;_-@_-">
                  <c:v>209542.23368832289</c:v>
                </c:pt>
                <c:pt idx="48" formatCode="_-* #,##0.0_-;\-* #,##0.0_-;_-* &quot;-&quot;?_-;_-@_-">
                  <c:v>209542.23368832289</c:v>
                </c:pt>
                <c:pt idx="49" formatCode="_-* #,##0.0_-;\-* #,##0.0_-;_-* &quot;-&quot;?_-;_-@_-">
                  <c:v>209542.23368832289</c:v>
                </c:pt>
                <c:pt idx="50" formatCode="_-* #,##0.0_-;\-* #,##0.0_-;_-* &quot;-&quot;?_-;_-@_-">
                  <c:v>163823.92815632516</c:v>
                </c:pt>
                <c:pt idx="51" formatCode="_-* #,##0.0_-;\-* #,##0.0_-;_-* &quot;-&quot;?_-;_-@_-">
                  <c:v>163823.92815632516</c:v>
                </c:pt>
                <c:pt idx="52" formatCode="_-* #,##0.0_-;\-* #,##0.0_-;_-* &quot;-&quot;?_-;_-@_-">
                  <c:v>163823.92815632516</c:v>
                </c:pt>
                <c:pt idx="53" formatCode="_-* #,##0.0_-;\-* #,##0.0_-;_-* &quot;-&quot;?_-;_-@_-">
                  <c:v>163823.92815632516</c:v>
                </c:pt>
                <c:pt idx="54" formatCode="_-* #,##0.0_-;\-* #,##0.0_-;_-* &quot;-&quot;?_-;_-@_-">
                  <c:v>163823.92815632516</c:v>
                </c:pt>
                <c:pt idx="55" formatCode="_-* #,##0.0_-;\-* #,##0.0_-;_-* &quot;-&quot;?_-;_-@_-">
                  <c:v>163823.92815632516</c:v>
                </c:pt>
                <c:pt idx="56" formatCode="_-* #,##0.0_-;\-* #,##0.0_-;_-* &quot;-&quot;?_-;_-@_-">
                  <c:v>163823.92815632516</c:v>
                </c:pt>
                <c:pt idx="57" formatCode="_-* #,##0.0_-;\-* #,##0.0_-;_-* &quot;-&quot;?_-;_-@_-">
                  <c:v>163823.92815632516</c:v>
                </c:pt>
                <c:pt idx="58" formatCode="_-* #,##0.0_-;\-* #,##0.0_-;_-* &quot;-&quot;?_-;_-@_-">
                  <c:v>163823.92815632516</c:v>
                </c:pt>
                <c:pt idx="59" formatCode="_-* #,##0.0_-;\-* #,##0.0_-;_-* &quot;-&quot;?_-;_-@_-">
                  <c:v>163823.92815632516</c:v>
                </c:pt>
                <c:pt idx="60" formatCode="_-* #,##0.0_-;\-* #,##0.0_-;_-* &quot;-&quot;?_-;_-@_-">
                  <c:v>163823.92815632516</c:v>
                </c:pt>
                <c:pt idx="61" formatCode="_-* #,##0.0_-;\-* #,##0.0_-;_-* &quot;-&quot;?_-;_-@_-">
                  <c:v>163823.92815632516</c:v>
                </c:pt>
                <c:pt idx="62" formatCode="_-* #,##0.0_-;\-* #,##0.0_-;_-* &quot;-&quot;?_-;_-@_-">
                  <c:v>163823.92815632516</c:v>
                </c:pt>
                <c:pt idx="63" formatCode="_-* #,##0.0_-;\-* #,##0.0_-;_-* &quot;-&quot;?_-;_-@_-">
                  <c:v>163823.92815632516</c:v>
                </c:pt>
                <c:pt idx="64" formatCode="_-* #,##0.0_-;\-* #,##0.0_-;_-* &quot;-&quot;?_-;_-@_-">
                  <c:v>163823.92815632516</c:v>
                </c:pt>
                <c:pt idx="65" formatCode="_-* #,##0.0_-;\-* #,##0.0_-;_-* &quot;-&quot;?_-;_-@_-">
                  <c:v>163823.92815632516</c:v>
                </c:pt>
                <c:pt idx="66" formatCode="_-* #,##0.0_-;\-* #,##0.0_-;_-* &quot;-&quot;?_-;_-@_-">
                  <c:v>163823.92815632516</c:v>
                </c:pt>
                <c:pt idx="67" formatCode="_-* #,##0.0_-;\-* #,##0.0_-;_-* &quot;-&quot;?_-;_-@_-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C4-4AC2-A520-004CE4179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dropLines>
        <c:smooth val="0"/>
        <c:axId val="123191503"/>
        <c:axId val="123192943"/>
      </c:lineChart>
      <c:catAx>
        <c:axId val="12319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294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19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1503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Sheet3!$D$4</c:f>
              <c:strCache>
                <c:ptCount val="1"/>
                <c:pt idx="0">
                  <c:v>Utbetaling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Sheet3!$C$5:$C$72</c:f>
              <c:numCache>
                <c:formatCode>_-* #,##0_-;\-* #,##0_-;_-* "-"??_-;_-@_-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Sheet3!$D$5:$D$72</c:f>
              <c:numCache>
                <c:formatCode>_-* #,##0_-;\-* #,##0_-;_-* "-"??_-;_-@_-</c:formatCode>
                <c:ptCount val="68"/>
                <c:pt idx="0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>
                  <c:v>209542.23368832289</c:v>
                </c:pt>
                <c:pt idx="46">
                  <c:v>209542.23368832289</c:v>
                </c:pt>
                <c:pt idx="47">
                  <c:v>209542.23368832289</c:v>
                </c:pt>
                <c:pt idx="48">
                  <c:v>209542.23368832289</c:v>
                </c:pt>
                <c:pt idx="49">
                  <c:v>209542.23368832289</c:v>
                </c:pt>
                <c:pt idx="50">
                  <c:v>163823.92815632516</c:v>
                </c:pt>
                <c:pt idx="51">
                  <c:v>163823.92815632516</c:v>
                </c:pt>
                <c:pt idx="52">
                  <c:v>163823.92815632516</c:v>
                </c:pt>
                <c:pt idx="53">
                  <c:v>163823.92815632516</c:v>
                </c:pt>
                <c:pt idx="54">
                  <c:v>163823.92815632516</c:v>
                </c:pt>
                <c:pt idx="55">
                  <c:v>163823.92815632516</c:v>
                </c:pt>
                <c:pt idx="56">
                  <c:v>163823.92815632516</c:v>
                </c:pt>
                <c:pt idx="57">
                  <c:v>163823.92815632516</c:v>
                </c:pt>
                <c:pt idx="58">
                  <c:v>163823.92815632516</c:v>
                </c:pt>
                <c:pt idx="59">
                  <c:v>163823.92815632516</c:v>
                </c:pt>
                <c:pt idx="60">
                  <c:v>163823.92815632516</c:v>
                </c:pt>
                <c:pt idx="61">
                  <c:v>163823.92815632516</c:v>
                </c:pt>
                <c:pt idx="62">
                  <c:v>163823.92815632516</c:v>
                </c:pt>
                <c:pt idx="63">
                  <c:v>163823.92815632516</c:v>
                </c:pt>
                <c:pt idx="64">
                  <c:v>163823.92815632516</c:v>
                </c:pt>
                <c:pt idx="65">
                  <c:v>163823.92815632516</c:v>
                </c:pt>
                <c:pt idx="66">
                  <c:v>163823.92815632516</c:v>
                </c:pt>
                <c:pt idx="67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6-4100-BBB7-56F6E592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154031"/>
        <c:axId val="1262156431"/>
      </c:lineChart>
      <c:catAx>
        <c:axId val="1262154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År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6431"/>
        <c:crosses val="autoZero"/>
        <c:auto val="1"/>
        <c:lblAlgn val="ctr"/>
        <c:lblOffset val="100"/>
        <c:tickMarkSkip val="5"/>
        <c:noMultiLvlLbl val="0"/>
      </c:catAx>
      <c:valAx>
        <c:axId val="126215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761298996574316E-2"/>
          <c:y val="0.13887671803121385"/>
          <c:w val="0.8872547740870913"/>
          <c:h val="0.72183617672790901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Sheet1!$F$3:$F$70</c:f>
              <c:numCache>
                <c:formatCode>General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Sheet1!$G$3:$G$70</c:f>
              <c:numCache>
                <c:formatCode>_-* #,##0_-;\-* #,##0_-;_-* "-"??_-;_-@_-</c:formatCode>
                <c:ptCount val="68"/>
                <c:pt idx="0" formatCode="General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 formatCode="_-* #,##0.0_-;\-* #,##0.0_-;_-* &quot;-&quot;?_-;_-@_-">
                  <c:v>209542.23368832289</c:v>
                </c:pt>
                <c:pt idx="46" formatCode="_-* #,##0.0_-;\-* #,##0.0_-;_-* &quot;-&quot;?_-;_-@_-">
                  <c:v>209542.23368832289</c:v>
                </c:pt>
                <c:pt idx="47" formatCode="_-* #,##0.0_-;\-* #,##0.0_-;_-* &quot;-&quot;?_-;_-@_-">
                  <c:v>209542.23368832289</c:v>
                </c:pt>
                <c:pt idx="48" formatCode="_-* #,##0.0_-;\-* #,##0.0_-;_-* &quot;-&quot;?_-;_-@_-">
                  <c:v>209542.23368832289</c:v>
                </c:pt>
                <c:pt idx="49" formatCode="_-* #,##0.0_-;\-* #,##0.0_-;_-* &quot;-&quot;?_-;_-@_-">
                  <c:v>209542.23368832289</c:v>
                </c:pt>
                <c:pt idx="50" formatCode="_-* #,##0.0_-;\-* #,##0.0_-;_-* &quot;-&quot;?_-;_-@_-">
                  <c:v>163823.92815632516</c:v>
                </c:pt>
                <c:pt idx="51" formatCode="_-* #,##0.0_-;\-* #,##0.0_-;_-* &quot;-&quot;?_-;_-@_-">
                  <c:v>163823.92815632516</c:v>
                </c:pt>
                <c:pt idx="52" formatCode="_-* #,##0.0_-;\-* #,##0.0_-;_-* &quot;-&quot;?_-;_-@_-">
                  <c:v>163823.92815632516</c:v>
                </c:pt>
                <c:pt idx="53" formatCode="_-* #,##0.0_-;\-* #,##0.0_-;_-* &quot;-&quot;?_-;_-@_-">
                  <c:v>163823.92815632516</c:v>
                </c:pt>
                <c:pt idx="54" formatCode="_-* #,##0.0_-;\-* #,##0.0_-;_-* &quot;-&quot;?_-;_-@_-">
                  <c:v>163823.92815632516</c:v>
                </c:pt>
                <c:pt idx="55" formatCode="_-* #,##0.0_-;\-* #,##0.0_-;_-* &quot;-&quot;?_-;_-@_-">
                  <c:v>163823.92815632516</c:v>
                </c:pt>
                <c:pt idx="56" formatCode="_-* #,##0.0_-;\-* #,##0.0_-;_-* &quot;-&quot;?_-;_-@_-">
                  <c:v>163823.92815632516</c:v>
                </c:pt>
                <c:pt idx="57" formatCode="_-* #,##0.0_-;\-* #,##0.0_-;_-* &quot;-&quot;?_-;_-@_-">
                  <c:v>163823.92815632516</c:v>
                </c:pt>
                <c:pt idx="58" formatCode="_-* #,##0.0_-;\-* #,##0.0_-;_-* &quot;-&quot;?_-;_-@_-">
                  <c:v>163823.92815632516</c:v>
                </c:pt>
                <c:pt idx="59" formatCode="_-* #,##0.0_-;\-* #,##0.0_-;_-* &quot;-&quot;?_-;_-@_-">
                  <c:v>163823.92815632516</c:v>
                </c:pt>
                <c:pt idx="60" formatCode="_-* #,##0.0_-;\-* #,##0.0_-;_-* &quot;-&quot;?_-;_-@_-">
                  <c:v>163823.92815632516</c:v>
                </c:pt>
                <c:pt idx="61" formatCode="_-* #,##0.0_-;\-* #,##0.0_-;_-* &quot;-&quot;?_-;_-@_-">
                  <c:v>163823.92815632516</c:v>
                </c:pt>
                <c:pt idx="62" formatCode="_-* #,##0.0_-;\-* #,##0.0_-;_-* &quot;-&quot;?_-;_-@_-">
                  <c:v>163823.92815632516</c:v>
                </c:pt>
                <c:pt idx="63" formatCode="_-* #,##0.0_-;\-* #,##0.0_-;_-* &quot;-&quot;?_-;_-@_-">
                  <c:v>163823.92815632516</c:v>
                </c:pt>
                <c:pt idx="64" formatCode="_-* #,##0.0_-;\-* #,##0.0_-;_-* &quot;-&quot;?_-;_-@_-">
                  <c:v>163823.92815632516</c:v>
                </c:pt>
                <c:pt idx="65" formatCode="_-* #,##0.0_-;\-* #,##0.0_-;_-* &quot;-&quot;?_-;_-@_-">
                  <c:v>163823.92815632516</c:v>
                </c:pt>
                <c:pt idx="66" formatCode="_-* #,##0.0_-;\-* #,##0.0_-;_-* &quot;-&quot;?_-;_-@_-">
                  <c:v>163823.92815632516</c:v>
                </c:pt>
                <c:pt idx="67" formatCode="_-* #,##0.0_-;\-* #,##0.0_-;_-* &quot;-&quot;?_-;_-@_-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3-4D8F-9CC3-5EE668A443AB}"/>
            </c:ext>
          </c:extLst>
        </c:ser>
        <c:ser>
          <c:idx val="1"/>
          <c:order val="1"/>
          <c:marker>
            <c:symbol val="none"/>
          </c:marker>
          <c:cat>
            <c:numRef>
              <c:f>Sheet1!$F$3:$F$70</c:f>
              <c:numCache>
                <c:formatCode>General</c:formatCode>
                <c:ptCount val="6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</c:numCache>
            </c:numRef>
          </c:cat>
          <c:val>
            <c:numRef>
              <c:f>Sheet1!$G$3:$G$70</c:f>
              <c:numCache>
                <c:formatCode>_-* #,##0_-;\-* #,##0_-;_-* "-"??_-;_-@_-</c:formatCode>
                <c:ptCount val="68"/>
                <c:pt idx="0" formatCode="General">
                  <c:v>300000</c:v>
                </c:pt>
                <c:pt idx="1">
                  <c:v>303150</c:v>
                </c:pt>
                <c:pt idx="2">
                  <c:v>306333.07500000001</c:v>
                </c:pt>
                <c:pt idx="3">
                  <c:v>309549.57228750002</c:v>
                </c:pt>
                <c:pt idx="4">
                  <c:v>312799.84279651876</c:v>
                </c:pt>
                <c:pt idx="5">
                  <c:v>316084.24114588217</c:v>
                </c:pt>
                <c:pt idx="6">
                  <c:v>319403.12567791389</c:v>
                </c:pt>
                <c:pt idx="7">
                  <c:v>322756.85849753197</c:v>
                </c:pt>
                <c:pt idx="8">
                  <c:v>326145.80551175604</c:v>
                </c:pt>
                <c:pt idx="9">
                  <c:v>329570.33646962949</c:v>
                </c:pt>
                <c:pt idx="10">
                  <c:v>333030.82500256057</c:v>
                </c:pt>
                <c:pt idx="11">
                  <c:v>336527.64866508741</c:v>
                </c:pt>
                <c:pt idx="12">
                  <c:v>340061.18897607084</c:v>
                </c:pt>
                <c:pt idx="13">
                  <c:v>343631.83146031958</c:v>
                </c:pt>
                <c:pt idx="14">
                  <c:v>347239.9656906529</c:v>
                </c:pt>
                <c:pt idx="15">
                  <c:v>350885.98533040471</c:v>
                </c:pt>
                <c:pt idx="16">
                  <c:v>354570.28817637393</c:v>
                </c:pt>
                <c:pt idx="17">
                  <c:v>358293.27620222582</c:v>
                </c:pt>
                <c:pt idx="18">
                  <c:v>362055.35560234915</c:v>
                </c:pt>
                <c:pt idx="19">
                  <c:v>365856.93683617382</c:v>
                </c:pt>
                <c:pt idx="20">
                  <c:v>369698.43467295362</c:v>
                </c:pt>
                <c:pt idx="21">
                  <c:v>373580.2682370196</c:v>
                </c:pt>
                <c:pt idx="22">
                  <c:v>377502.8610535083</c:v>
                </c:pt>
                <c:pt idx="23">
                  <c:v>381466.64109457011</c:v>
                </c:pt>
                <c:pt idx="24">
                  <c:v>385472.04082606308</c:v>
                </c:pt>
                <c:pt idx="25">
                  <c:v>389519.49725473672</c:v>
                </c:pt>
                <c:pt idx="26">
                  <c:v>393609.45197591145</c:v>
                </c:pt>
                <c:pt idx="27">
                  <c:v>397742.35122165852</c:v>
                </c:pt>
                <c:pt idx="28">
                  <c:v>401918.64590948593</c:v>
                </c:pt>
                <c:pt idx="29">
                  <c:v>406138.7916915355</c:v>
                </c:pt>
                <c:pt idx="30">
                  <c:v>410403.24900429661</c:v>
                </c:pt>
                <c:pt idx="31">
                  <c:v>414712.48311884172</c:v>
                </c:pt>
                <c:pt idx="32">
                  <c:v>419066.96419158956</c:v>
                </c:pt>
                <c:pt idx="33">
                  <c:v>423467.16731560125</c:v>
                </c:pt>
                <c:pt idx="34">
                  <c:v>427913.57257241505</c:v>
                </c:pt>
                <c:pt idx="35">
                  <c:v>432406.66508442542</c:v>
                </c:pt>
                <c:pt idx="36">
                  <c:v>436946.93506781186</c:v>
                </c:pt>
                <c:pt idx="37">
                  <c:v>441534.8778860239</c:v>
                </c:pt>
                <c:pt idx="38">
                  <c:v>446170.99410382711</c:v>
                </c:pt>
                <c:pt idx="39">
                  <c:v>450855.78954191727</c:v>
                </c:pt>
                <c:pt idx="40">
                  <c:v>455589.77533210738</c:v>
                </c:pt>
                <c:pt idx="41">
                  <c:v>460373.46797309449</c:v>
                </c:pt>
                <c:pt idx="42">
                  <c:v>465207.38938681193</c:v>
                </c:pt>
                <c:pt idx="43">
                  <c:v>470092.06697537343</c:v>
                </c:pt>
                <c:pt idx="44">
                  <c:v>475028.03367861483</c:v>
                </c:pt>
                <c:pt idx="45" formatCode="_-* #,##0.0_-;\-* #,##0.0_-;_-* &quot;-&quot;?_-;_-@_-">
                  <c:v>209542.23368832289</c:v>
                </c:pt>
                <c:pt idx="46" formatCode="_-* #,##0.0_-;\-* #,##0.0_-;_-* &quot;-&quot;?_-;_-@_-">
                  <c:v>209542.23368832289</c:v>
                </c:pt>
                <c:pt idx="47" formatCode="_-* #,##0.0_-;\-* #,##0.0_-;_-* &quot;-&quot;?_-;_-@_-">
                  <c:v>209542.23368832289</c:v>
                </c:pt>
                <c:pt idx="48" formatCode="_-* #,##0.0_-;\-* #,##0.0_-;_-* &quot;-&quot;?_-;_-@_-">
                  <c:v>209542.23368832289</c:v>
                </c:pt>
                <c:pt idx="49" formatCode="_-* #,##0.0_-;\-* #,##0.0_-;_-* &quot;-&quot;?_-;_-@_-">
                  <c:v>209542.23368832289</c:v>
                </c:pt>
                <c:pt idx="50" formatCode="_-* #,##0.0_-;\-* #,##0.0_-;_-* &quot;-&quot;?_-;_-@_-">
                  <c:v>163823.92815632516</c:v>
                </c:pt>
                <c:pt idx="51" formatCode="_-* #,##0.0_-;\-* #,##0.0_-;_-* &quot;-&quot;?_-;_-@_-">
                  <c:v>163823.92815632516</c:v>
                </c:pt>
                <c:pt idx="52" formatCode="_-* #,##0.0_-;\-* #,##0.0_-;_-* &quot;-&quot;?_-;_-@_-">
                  <c:v>163823.92815632516</c:v>
                </c:pt>
                <c:pt idx="53" formatCode="_-* #,##0.0_-;\-* #,##0.0_-;_-* &quot;-&quot;?_-;_-@_-">
                  <c:v>163823.92815632516</c:v>
                </c:pt>
                <c:pt idx="54" formatCode="_-* #,##0.0_-;\-* #,##0.0_-;_-* &quot;-&quot;?_-;_-@_-">
                  <c:v>163823.92815632516</c:v>
                </c:pt>
                <c:pt idx="55" formatCode="_-* #,##0.0_-;\-* #,##0.0_-;_-* &quot;-&quot;?_-;_-@_-">
                  <c:v>163823.92815632516</c:v>
                </c:pt>
                <c:pt idx="56" formatCode="_-* #,##0.0_-;\-* #,##0.0_-;_-* &quot;-&quot;?_-;_-@_-">
                  <c:v>163823.92815632516</c:v>
                </c:pt>
                <c:pt idx="57" formatCode="_-* #,##0.0_-;\-* #,##0.0_-;_-* &quot;-&quot;?_-;_-@_-">
                  <c:v>163823.92815632516</c:v>
                </c:pt>
                <c:pt idx="58" formatCode="_-* #,##0.0_-;\-* #,##0.0_-;_-* &quot;-&quot;?_-;_-@_-">
                  <c:v>163823.92815632516</c:v>
                </c:pt>
                <c:pt idx="59" formatCode="_-* #,##0.0_-;\-* #,##0.0_-;_-* &quot;-&quot;?_-;_-@_-">
                  <c:v>163823.92815632516</c:v>
                </c:pt>
                <c:pt idx="60" formatCode="_-* #,##0.0_-;\-* #,##0.0_-;_-* &quot;-&quot;?_-;_-@_-">
                  <c:v>163823.92815632516</c:v>
                </c:pt>
                <c:pt idx="61" formatCode="_-* #,##0.0_-;\-* #,##0.0_-;_-* &quot;-&quot;?_-;_-@_-">
                  <c:v>163823.92815632516</c:v>
                </c:pt>
                <c:pt idx="62" formatCode="_-* #,##0.0_-;\-* #,##0.0_-;_-* &quot;-&quot;?_-;_-@_-">
                  <c:v>163823.92815632516</c:v>
                </c:pt>
                <c:pt idx="63" formatCode="_-* #,##0.0_-;\-* #,##0.0_-;_-* &quot;-&quot;?_-;_-@_-">
                  <c:v>163823.92815632516</c:v>
                </c:pt>
                <c:pt idx="64" formatCode="_-* #,##0.0_-;\-* #,##0.0_-;_-* &quot;-&quot;?_-;_-@_-">
                  <c:v>163823.92815632516</c:v>
                </c:pt>
                <c:pt idx="65" formatCode="_-* #,##0.0_-;\-* #,##0.0_-;_-* &quot;-&quot;?_-;_-@_-">
                  <c:v>163823.92815632516</c:v>
                </c:pt>
                <c:pt idx="66" formatCode="_-* #,##0.0_-;\-* #,##0.0_-;_-* &quot;-&quot;?_-;_-@_-">
                  <c:v>163823.92815632516</c:v>
                </c:pt>
                <c:pt idx="67" formatCode="_-* #,##0.0_-;\-* #,##0.0_-;_-* &quot;-&quot;?_-;_-@_-">
                  <c:v>163823.92815632516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83-4D8F-9CC3-5EE668A4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91503"/>
        <c:axId val="123192943"/>
      </c:lineChart>
      <c:catAx>
        <c:axId val="12319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23192943"/>
        <c:crosses val="autoZero"/>
        <c:auto val="1"/>
        <c:lblAlgn val="ctr"/>
        <c:lblOffset val="100"/>
        <c:noMultiLvlLbl val="0"/>
      </c:catAx>
      <c:valAx>
        <c:axId val="123192943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2319150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124782</xdr:colOff>
      <xdr:row>5</xdr:row>
      <xdr:rowOff>81891</xdr:rowOff>
    </xdr:from>
    <xdr:to>
      <xdr:col>18</xdr:col>
      <xdr:colOff>75960</xdr:colOff>
      <xdr:row>22</xdr:row>
      <xdr:rowOff>161746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163511</xdr:colOff>
      <xdr:row>10</xdr:row>
      <xdr:rowOff>93661</xdr:rowOff>
    </xdr:from>
    <xdr:to>
      <xdr:col>21</xdr:col>
      <xdr:colOff>257174</xdr:colOff>
      <xdr:row>35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E9FFA-BA0A-DFD1-6282-FED7FB57F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609599</xdr:colOff>
      <xdr:row>30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304799</xdr:colOff>
      <xdr:row>24</xdr:row>
      <xdr:rowOff>90603</xdr:rowOff>
    </xdr:from>
    <xdr:to>
      <xdr:col>17</xdr:col>
      <xdr:colOff>203198</xdr:colOff>
      <xdr:row>26</xdr:row>
      <xdr:rowOff>91635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14399" y="4510203"/>
          <a:ext cx="9651999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u="sng">
              <a:solidFill>
                <a:schemeClr val="bg1"/>
              </a:solidFill>
            </a:rPr>
            <a:t>										</a:t>
          </a:r>
        </a:p>
      </xdr:txBody>
    </xdr:sp>
    <xdr:clientData/>
  </xdr:twoCellAnchor>
  <xdr:twoCellAnchor>
    <xdr:from>
      <xdr:col>1</xdr:col>
      <xdr:colOff>304799</xdr:colOff>
      <xdr:row>26</xdr:row>
      <xdr:rowOff>66733</xdr:rowOff>
    </xdr:from>
    <xdr:to>
      <xdr:col>17</xdr:col>
      <xdr:colOff>203198</xdr:colOff>
      <xdr:row>28</xdr:row>
      <xdr:rowOff>98543</xdr:rowOff>
    </xdr:to>
    <xdr:sp macro="" textlink="">
      <xdr:nvSpPr>
        <xdr:cNvPr id="4" name="TextBox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14399" y="4854633"/>
          <a:ext cx="9651999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>
              <a:solidFill>
                <a:schemeClr val="bg1"/>
              </a:solidFill>
            </a:rPr>
            <a:t>25                                                                     35                                                                                                                                                               72                      75                                                                                  92                                                                                            			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0.91176</cdr:x>
      <cdr:y>0.92839</cdr:y>
    </cdr:from>
    <cdr:to>
      <cdr:x>1</cdr:x>
      <cdr:y>0.9904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AAF42A-9D9B-EA8B-F49F-07276B698E62}"/>
            </a:ext>
          </a:extLst>
        </cdr:cNvPr>
        <cdr:cNvSpPr txBox="1"/>
      </cdr:nvSpPr>
      <cdr:spPr>
        <a:xfrm xmlns:a="http://schemas.openxmlformats.org/drawingml/2006/main">
          <a:off x="9448799" y="5263294"/>
          <a:ext cx="914400" cy="351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dirty="0">
              <a:solidFill>
                <a:schemeClr val="bg1"/>
              </a:solidFill>
            </a:rPr>
            <a:t>Alder</a:t>
          </a:r>
          <a:r>
            <a:rPr lang="en-US" sz="1100" dirty="0"/>
            <a:t> </a:t>
          </a:r>
        </a:p>
      </cdr:txBody>
    </cdr:sp>
  </cdr:relSizeAnchor>
  <cdr:relSizeAnchor xmlns:cdr="http://schemas.openxmlformats.org/drawingml/2006/chartDrawing">
    <cdr:from>
      <cdr:x>0.76647</cdr:x>
      <cdr:y>0.56505</cdr:y>
    </cdr:from>
    <cdr:to>
      <cdr:x>0.85471</cdr:x>
      <cdr:y>0.72634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2ECDEE5-A141-DAF5-D81E-CC69858339F2}"/>
            </a:ext>
          </a:extLst>
        </cdr:cNvPr>
        <cdr:cNvSpPr txBox="1"/>
      </cdr:nvSpPr>
      <cdr:spPr>
        <a:xfrm xmlns:a="http://schemas.openxmlformats.org/drawingml/2006/main">
          <a:off x="7943088" y="320344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Pensjonsutbetaling</a:t>
          </a:r>
          <a:r>
            <a:rPr lang="en-US" sz="1400" dirty="0">
              <a:solidFill>
                <a:schemeClr val="bg1"/>
              </a:solidFill>
            </a:rPr>
            <a:t> 75-92</a:t>
          </a:r>
          <a:r>
            <a:rPr lang="en-US" sz="1100" dirty="0"/>
            <a:t> </a:t>
          </a:r>
        </a:p>
      </cdr:txBody>
    </cdr:sp>
  </cdr:relSizeAnchor>
  <cdr:relSizeAnchor xmlns:cdr="http://schemas.openxmlformats.org/drawingml/2006/chartDrawing">
    <cdr:from>
      <cdr:x>0.69676</cdr:x>
      <cdr:y>0.469</cdr:y>
    </cdr:from>
    <cdr:to>
      <cdr:x>0.785</cdr:x>
      <cdr:y>0.63029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82ECDEE5-A141-DAF5-D81E-CC69858339F2}"/>
            </a:ext>
          </a:extLst>
        </cdr:cNvPr>
        <cdr:cNvSpPr txBox="1"/>
      </cdr:nvSpPr>
      <cdr:spPr>
        <a:xfrm xmlns:a="http://schemas.openxmlformats.org/drawingml/2006/main">
          <a:off x="7220712" y="265887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Pensjonsutbetaling</a:t>
          </a:r>
          <a:r>
            <a:rPr lang="en-US" sz="1400" dirty="0">
              <a:solidFill>
                <a:schemeClr val="bg1"/>
              </a:solidFill>
            </a:rPr>
            <a:t> 72-75</a:t>
          </a:r>
          <a:endParaRPr lang="en-US" sz="1100" dirty="0"/>
        </a:p>
      </cdr:txBody>
    </cdr:sp>
  </cdr:relSizeAnchor>
  <cdr:relSizeAnchor xmlns:cdr="http://schemas.openxmlformats.org/drawingml/2006/chartDrawing">
    <cdr:from>
      <cdr:x>0.09882</cdr:x>
      <cdr:y>0.56254</cdr:y>
    </cdr:from>
    <cdr:to>
      <cdr:x>0.68471</cdr:x>
      <cdr:y>0.56254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8CCB2B25-895E-DCAC-410C-152D32936196}"/>
            </a:ext>
          </a:extLst>
        </cdr:cNvPr>
        <cdr:cNvCxnSpPr/>
      </cdr:nvCxnSpPr>
      <cdr:spPr>
        <a:xfrm xmlns:a="http://schemas.openxmlformats.org/drawingml/2006/main" flipH="1">
          <a:off x="1024128" y="3189224"/>
          <a:ext cx="607161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0.09314</cdr:x>
      <cdr:y>0.62312</cdr:y>
    </cdr:from>
    <cdr:to>
      <cdr:x>0.74912</cdr:x>
      <cdr:y>0.62312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5B5058EE-C2EA-D456-B0E3-B27C9468C60F}"/>
            </a:ext>
          </a:extLst>
        </cdr:cNvPr>
        <cdr:cNvCxnSpPr/>
      </cdr:nvCxnSpPr>
      <cdr:spPr>
        <a:xfrm xmlns:a="http://schemas.openxmlformats.org/drawingml/2006/main" flipH="1">
          <a:off x="965200" y="3532632"/>
          <a:ext cx="679805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0.03725</cdr:x>
      <cdr:y>0.05054</cdr:y>
    </cdr:from>
    <cdr:to>
      <cdr:x>0.12549</cdr:x>
      <cdr:y>0.21183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22D87EF-F4A2-E03A-F1CA-A85C84C403AE}"/>
            </a:ext>
          </a:extLst>
        </cdr:cNvPr>
        <cdr:cNvSpPr txBox="1"/>
      </cdr:nvSpPr>
      <cdr:spPr>
        <a:xfrm xmlns:a="http://schemas.openxmlformats.org/drawingml/2006/main">
          <a:off x="386080" y="28651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Lønnsutbetaling</a:t>
          </a:r>
          <a:endParaRPr lang="en-US" sz="1100" dirty="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0.65588</cdr:x>
      <cdr:y>0.10305</cdr:y>
    </cdr:from>
    <cdr:to>
      <cdr:x>0.74412</cdr:x>
      <cdr:y>0.16505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77F19D96-950E-3678-BC97-3605DEF57577}"/>
            </a:ext>
          </a:extLst>
        </cdr:cNvPr>
        <cdr:cNvSpPr txBox="1"/>
      </cdr:nvSpPr>
      <cdr:spPr>
        <a:xfrm xmlns:a="http://schemas.openxmlformats.org/drawingml/2006/main">
          <a:off x="6797039" y="584200"/>
          <a:ext cx="914400" cy="351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Pensjon</a:t>
          </a:r>
          <a:endParaRPr lang="en-US" sz="1100" dirty="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0.8902</cdr:x>
      <cdr:y>0.02491</cdr:y>
    </cdr:from>
    <cdr:to>
      <cdr:x>0.97843</cdr:x>
      <cdr:y>0.08692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36A4976-22B9-AF48-564F-64B4FD0FB59E}"/>
            </a:ext>
          </a:extLst>
        </cdr:cNvPr>
        <cdr:cNvSpPr txBox="1"/>
      </cdr:nvSpPr>
      <cdr:spPr>
        <a:xfrm xmlns:a="http://schemas.openxmlformats.org/drawingml/2006/main">
          <a:off x="9225279" y="141224"/>
          <a:ext cx="914400" cy="351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dirty="0" err="1">
              <a:solidFill>
                <a:schemeClr val="tx1"/>
              </a:solidFill>
            </a:rPr>
            <a:t>Ansatt</a:t>
          </a:r>
          <a:endParaRPr lang="en-US" sz="1600" b="1" dirty="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0.91176</cdr:x>
      <cdr:y>0.92839</cdr:y>
    </cdr:from>
    <cdr:to>
      <cdr:x>1</cdr:x>
      <cdr:y>0.9904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74AAF42A-9D9B-EA8B-F49F-07276B698E62}"/>
            </a:ext>
          </a:extLst>
        </cdr:cNvPr>
        <cdr:cNvSpPr txBox="1"/>
      </cdr:nvSpPr>
      <cdr:spPr>
        <a:xfrm xmlns:a="http://schemas.openxmlformats.org/drawingml/2006/main">
          <a:off x="9448799" y="5263294"/>
          <a:ext cx="914400" cy="351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dirty="0">
              <a:solidFill>
                <a:schemeClr val="bg1"/>
              </a:solidFill>
            </a:rPr>
            <a:t>Alder</a:t>
          </a:r>
          <a:r>
            <a:rPr lang="en-US" sz="1100" dirty="0"/>
            <a:t> </a:t>
          </a:r>
        </a:p>
      </cdr:txBody>
    </cdr:sp>
  </cdr:relSizeAnchor>
  <cdr:relSizeAnchor xmlns:cdr="http://schemas.openxmlformats.org/drawingml/2006/chartDrawing">
    <cdr:from>
      <cdr:x>0.76647</cdr:x>
      <cdr:y>0.56505</cdr:y>
    </cdr:from>
    <cdr:to>
      <cdr:x>0.85471</cdr:x>
      <cdr:y>0.72634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82ECDEE5-A141-DAF5-D81E-CC69858339F2}"/>
            </a:ext>
          </a:extLst>
        </cdr:cNvPr>
        <cdr:cNvSpPr txBox="1"/>
      </cdr:nvSpPr>
      <cdr:spPr>
        <a:xfrm xmlns:a="http://schemas.openxmlformats.org/drawingml/2006/main">
          <a:off x="7943088" y="320344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Pensjonsutbetaling</a:t>
          </a:r>
          <a:r>
            <a:rPr lang="en-US" sz="1400" dirty="0">
              <a:solidFill>
                <a:schemeClr val="bg1"/>
              </a:solidFill>
            </a:rPr>
            <a:t> 75-92</a:t>
          </a:r>
          <a:r>
            <a:rPr lang="en-US" sz="1100" dirty="0"/>
            <a:t> </a:t>
          </a:r>
        </a:p>
      </cdr:txBody>
    </cdr:sp>
  </cdr:relSizeAnchor>
  <cdr:relSizeAnchor xmlns:cdr="http://schemas.openxmlformats.org/drawingml/2006/chartDrawing">
    <cdr:from>
      <cdr:x>0.69676</cdr:x>
      <cdr:y>0.469</cdr:y>
    </cdr:from>
    <cdr:to>
      <cdr:x>0.785</cdr:x>
      <cdr:y>0.63029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2ECDEE5-A141-DAF5-D81E-CC69858339F2}"/>
            </a:ext>
          </a:extLst>
        </cdr:cNvPr>
        <cdr:cNvSpPr txBox="1"/>
      </cdr:nvSpPr>
      <cdr:spPr>
        <a:xfrm xmlns:a="http://schemas.openxmlformats.org/drawingml/2006/main">
          <a:off x="7220712" y="265887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Pensjonsutbetaling</a:t>
          </a:r>
          <a:r>
            <a:rPr lang="en-US" sz="1400" dirty="0">
              <a:solidFill>
                <a:schemeClr val="bg1"/>
              </a:solidFill>
            </a:rPr>
            <a:t> 72-75</a:t>
          </a:r>
          <a:endParaRPr lang="en-US" sz="1100" dirty="0"/>
        </a:p>
      </cdr:txBody>
    </cdr:sp>
  </cdr:relSizeAnchor>
  <cdr:relSizeAnchor xmlns:cdr="http://schemas.openxmlformats.org/drawingml/2006/chartDrawing">
    <cdr:from>
      <cdr:x>0.09882</cdr:x>
      <cdr:y>0.56254</cdr:y>
    </cdr:from>
    <cdr:to>
      <cdr:x>0.68471</cdr:x>
      <cdr:y>0.56254</cdr:y>
    </cdr:to>
    <cdr:cxnSp macro="">
      <cdr:nvCxnSpPr>
        <cdr:cNvPr id="10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8CCB2B25-895E-DCAC-410C-152D32936196}"/>
            </a:ext>
          </a:extLst>
        </cdr:cNvPr>
        <cdr:cNvCxnSpPr/>
      </cdr:nvCxnSpPr>
      <cdr:spPr>
        <a:xfrm xmlns:a="http://schemas.openxmlformats.org/drawingml/2006/main" flipH="1">
          <a:off x="1024128" y="3189224"/>
          <a:ext cx="607161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0.09314</cdr:x>
      <cdr:y>0.62312</cdr:y>
    </cdr:from>
    <cdr:to>
      <cdr:x>0.74912</cdr:x>
      <cdr:y>0.62312</cdr:y>
    </cdr:to>
    <cdr:cxnSp macro="">
      <cdr:nvCxnSpPr>
        <cdr:cNvPr id="14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5B5058EE-C2EA-D456-B0E3-B27C9468C60F}"/>
            </a:ext>
          </a:extLst>
        </cdr:cNvPr>
        <cdr:cNvCxnSpPr/>
      </cdr:nvCxnSpPr>
      <cdr:spPr>
        <a:xfrm xmlns:a="http://schemas.openxmlformats.org/drawingml/2006/main" flipH="1">
          <a:off x="965200" y="3532632"/>
          <a:ext cx="679805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0.03725</cdr:x>
      <cdr:y>0.05054</cdr:y>
    </cdr:from>
    <cdr:to>
      <cdr:x>0.12549</cdr:x>
      <cdr:y>0.21183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22D87EF-F4A2-E03A-F1CA-A85C84C403AE}"/>
            </a:ext>
          </a:extLst>
        </cdr:cNvPr>
        <cdr:cNvSpPr txBox="1"/>
      </cdr:nvSpPr>
      <cdr:spPr>
        <a:xfrm xmlns:a="http://schemas.openxmlformats.org/drawingml/2006/main">
          <a:off x="386080" y="28651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Lønnsutbetaling</a:t>
          </a:r>
          <a:endParaRPr lang="en-US" sz="1100" dirty="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0.65588</cdr:x>
      <cdr:y>0.10305</cdr:y>
    </cdr:from>
    <cdr:to>
      <cdr:x>0.74412</cdr:x>
      <cdr:y>0.16505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77F19D96-950E-3678-BC97-3605DEF57577}"/>
            </a:ext>
          </a:extLst>
        </cdr:cNvPr>
        <cdr:cNvSpPr txBox="1"/>
      </cdr:nvSpPr>
      <cdr:spPr>
        <a:xfrm xmlns:a="http://schemas.openxmlformats.org/drawingml/2006/main">
          <a:off x="6797039" y="584200"/>
          <a:ext cx="914400" cy="351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dirty="0" err="1">
              <a:solidFill>
                <a:schemeClr val="tx1"/>
              </a:solidFill>
            </a:rPr>
            <a:t>Pensjon</a:t>
          </a:r>
          <a:endParaRPr lang="en-US" sz="1100" dirty="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0.8902</cdr:x>
      <cdr:y>0.02491</cdr:y>
    </cdr:from>
    <cdr:to>
      <cdr:x>0.97843</cdr:x>
      <cdr:y>0.08692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E36A4976-22B9-AF48-564F-64B4FD0FB59E}"/>
            </a:ext>
          </a:extLst>
        </cdr:cNvPr>
        <cdr:cNvSpPr txBox="1"/>
      </cdr:nvSpPr>
      <cdr:spPr>
        <a:xfrm xmlns:a="http://schemas.openxmlformats.org/drawingml/2006/main">
          <a:off x="9225279" y="141224"/>
          <a:ext cx="914400" cy="351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dirty="0" err="1">
              <a:solidFill>
                <a:schemeClr val="tx1"/>
              </a:solidFill>
            </a:rPr>
            <a:t>Ansatt</a:t>
          </a:r>
          <a:endParaRPr lang="en-US" sz="1600" b="1" dirty="0">
            <a:solidFill>
              <a:schemeClr val="tx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30F9D-9253-41C0-BAAF-9CC24F634AFC}" name="Table1" displayName="Table1" ref="F2:G70" totalsRowShown="0">
  <autoFilter ref="F2:G70" xr:uid="{C4730F9D-9253-41C0-BAAF-9CC24F634AFC}"/>
  <tableColumns count="2">
    <tableColumn id="1" xr3:uid="{2A0AF08A-3152-4067-BAEC-0BF087DC5C19}" name="År"/>
    <tableColumn id="2" xr3:uid="{40BB32B9-4FBC-4997-ADB3-09F1685917D0}" name="Utbetaling" dataDxfId="3">
      <calculatedColumnFormula>$E$7*$E$48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38AE3A-51C2-47C3-92AB-3778CF802100}" name="Table5" displayName="Table5" ref="C4:D72" totalsRowShown="0" dataDxfId="2" dataCellStyle="Comma">
  <autoFilter ref="C4:D72" xr:uid="{DD38AE3A-51C2-47C3-92AB-3778CF802100}"/>
  <tableColumns count="2">
    <tableColumn id="1" xr3:uid="{FEAE54FE-5B6C-45F2-A04C-D6ED843482DF}" name="År" dataDxfId="1" dataCellStyle="Comma"/>
    <tableColumn id="2" xr3:uid="{EBB11BC4-217F-41AD-98A4-66CB0E36F5ED}" name="Utbetaling" dataDxfId="0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ACAE-0881-4318-8B4C-A47253A5AEB4}">
  <dimension ref="C2:G70"/>
  <sheetViews>
    <sheetView topLeftCell="E1" zoomScale="97" zoomScaleNormal="265" workbookViewId="0">
      <selection activeCell="F2" sqref="F2:G70"/>
    </sheetView>
  </sheetViews>
  <sheetFormatPr defaultRowHeight="14.45"/>
  <cols>
    <col min="4" max="4" width="11.140625" bestFit="1" customWidth="1"/>
    <col min="5" max="5" width="11" bestFit="1" customWidth="1"/>
    <col min="6" max="6" width="10.140625" customWidth="1"/>
    <col min="7" max="7" width="13.42578125" bestFit="1" customWidth="1"/>
  </cols>
  <sheetData>
    <row r="2" spans="3:7">
      <c r="C2" t="s">
        <v>0</v>
      </c>
      <c r="D2" t="s">
        <v>1</v>
      </c>
      <c r="F2" t="s">
        <v>2</v>
      </c>
      <c r="G2" t="s">
        <v>3</v>
      </c>
    </row>
    <row r="3" spans="3:7">
      <c r="D3" t="s">
        <v>4</v>
      </c>
      <c r="F3">
        <v>25</v>
      </c>
      <c r="G3">
        <v>300000</v>
      </c>
    </row>
    <row r="4" spans="3:7">
      <c r="F4">
        <v>26</v>
      </c>
      <c r="G4" s="3">
        <f>G3*(1+$E$5)</f>
        <v>303150</v>
      </c>
    </row>
    <row r="5" spans="3:7">
      <c r="D5" s="1"/>
      <c r="E5" s="4">
        <v>1.0500000000000001E-2</v>
      </c>
      <c r="F5">
        <v>27</v>
      </c>
      <c r="G5" s="3">
        <f t="shared" ref="G5:G47" si="0">G4*(1+$E$5)</f>
        <v>306333.07500000001</v>
      </c>
    </row>
    <row r="6" spans="3:7">
      <c r="F6">
        <v>28</v>
      </c>
      <c r="G6" s="3">
        <f t="shared" si="0"/>
        <v>309549.57228750002</v>
      </c>
    </row>
    <row r="7" spans="3:7">
      <c r="E7" s="2">
        <f>AVERAGE(G3:G47)</f>
        <v>380985.87943331432</v>
      </c>
      <c r="F7">
        <v>29</v>
      </c>
      <c r="G7" s="3">
        <f t="shared" si="0"/>
        <v>312799.84279651876</v>
      </c>
    </row>
    <row r="8" spans="3:7">
      <c r="F8">
        <v>30</v>
      </c>
      <c r="G8" s="3">
        <f t="shared" si="0"/>
        <v>316084.24114588217</v>
      </c>
    </row>
    <row r="9" spans="3:7">
      <c r="F9">
        <v>31</v>
      </c>
      <c r="G9" s="3">
        <f t="shared" si="0"/>
        <v>319403.12567791389</v>
      </c>
    </row>
    <row r="10" spans="3:7">
      <c r="F10">
        <v>32</v>
      </c>
      <c r="G10" s="3">
        <f t="shared" si="0"/>
        <v>322756.85849753197</v>
      </c>
    </row>
    <row r="11" spans="3:7">
      <c r="F11">
        <v>33</v>
      </c>
      <c r="G11" s="3">
        <f t="shared" si="0"/>
        <v>326145.80551175604</v>
      </c>
    </row>
    <row r="12" spans="3:7">
      <c r="F12">
        <v>34</v>
      </c>
      <c r="G12" s="3">
        <f t="shared" si="0"/>
        <v>329570.33646962949</v>
      </c>
    </row>
    <row r="13" spans="3:7">
      <c r="F13">
        <v>35</v>
      </c>
      <c r="G13" s="3">
        <f t="shared" si="0"/>
        <v>333030.82500256057</v>
      </c>
    </row>
    <row r="14" spans="3:7">
      <c r="F14">
        <v>36</v>
      </c>
      <c r="G14" s="3">
        <f t="shared" si="0"/>
        <v>336527.64866508741</v>
      </c>
    </row>
    <row r="15" spans="3:7">
      <c r="F15">
        <v>37</v>
      </c>
      <c r="G15" s="3">
        <f t="shared" si="0"/>
        <v>340061.18897607084</v>
      </c>
    </row>
    <row r="16" spans="3:7">
      <c r="F16">
        <v>38</v>
      </c>
      <c r="G16" s="3">
        <f t="shared" si="0"/>
        <v>343631.83146031958</v>
      </c>
    </row>
    <row r="17" spans="6:7">
      <c r="F17">
        <v>39</v>
      </c>
      <c r="G17" s="3">
        <f t="shared" si="0"/>
        <v>347239.9656906529</v>
      </c>
    </row>
    <row r="18" spans="6:7">
      <c r="F18">
        <v>40</v>
      </c>
      <c r="G18" s="3">
        <f t="shared" si="0"/>
        <v>350885.98533040471</v>
      </c>
    </row>
    <row r="19" spans="6:7">
      <c r="F19">
        <v>41</v>
      </c>
      <c r="G19" s="3">
        <f t="shared" si="0"/>
        <v>354570.28817637393</v>
      </c>
    </row>
    <row r="20" spans="6:7">
      <c r="F20">
        <v>42</v>
      </c>
      <c r="G20" s="3">
        <f t="shared" si="0"/>
        <v>358293.27620222582</v>
      </c>
    </row>
    <row r="21" spans="6:7">
      <c r="F21">
        <v>43</v>
      </c>
      <c r="G21" s="3">
        <f t="shared" si="0"/>
        <v>362055.35560234915</v>
      </c>
    </row>
    <row r="22" spans="6:7">
      <c r="F22">
        <v>44</v>
      </c>
      <c r="G22" s="3">
        <f t="shared" si="0"/>
        <v>365856.93683617382</v>
      </c>
    </row>
    <row r="23" spans="6:7">
      <c r="F23">
        <v>45</v>
      </c>
      <c r="G23" s="3">
        <f t="shared" si="0"/>
        <v>369698.43467295362</v>
      </c>
    </row>
    <row r="24" spans="6:7">
      <c r="F24">
        <v>46</v>
      </c>
      <c r="G24" s="3">
        <f t="shared" si="0"/>
        <v>373580.2682370196</v>
      </c>
    </row>
    <row r="25" spans="6:7">
      <c r="F25">
        <v>47</v>
      </c>
      <c r="G25" s="3">
        <f t="shared" si="0"/>
        <v>377502.8610535083</v>
      </c>
    </row>
    <row r="26" spans="6:7">
      <c r="F26">
        <v>48</v>
      </c>
      <c r="G26" s="3">
        <f t="shared" si="0"/>
        <v>381466.64109457011</v>
      </c>
    </row>
    <row r="27" spans="6:7">
      <c r="F27">
        <v>49</v>
      </c>
      <c r="G27" s="3">
        <f t="shared" si="0"/>
        <v>385472.04082606308</v>
      </c>
    </row>
    <row r="28" spans="6:7">
      <c r="F28">
        <v>50</v>
      </c>
      <c r="G28" s="3">
        <f t="shared" si="0"/>
        <v>389519.49725473672</v>
      </c>
    </row>
    <row r="29" spans="6:7">
      <c r="F29">
        <v>51</v>
      </c>
      <c r="G29" s="3">
        <f t="shared" si="0"/>
        <v>393609.45197591145</v>
      </c>
    </row>
    <row r="30" spans="6:7">
      <c r="F30">
        <v>52</v>
      </c>
      <c r="G30" s="3">
        <f t="shared" si="0"/>
        <v>397742.35122165852</v>
      </c>
    </row>
    <row r="31" spans="6:7">
      <c r="F31">
        <v>53</v>
      </c>
      <c r="G31" s="3">
        <f t="shared" si="0"/>
        <v>401918.64590948593</v>
      </c>
    </row>
    <row r="32" spans="6:7">
      <c r="F32">
        <v>54</v>
      </c>
      <c r="G32" s="3">
        <f t="shared" si="0"/>
        <v>406138.7916915355</v>
      </c>
    </row>
    <row r="33" spans="5:7">
      <c r="F33">
        <v>55</v>
      </c>
      <c r="G33" s="3">
        <f t="shared" si="0"/>
        <v>410403.24900429661</v>
      </c>
    </row>
    <row r="34" spans="5:7">
      <c r="F34">
        <v>56</v>
      </c>
      <c r="G34" s="3">
        <f t="shared" si="0"/>
        <v>414712.48311884172</v>
      </c>
    </row>
    <row r="35" spans="5:7">
      <c r="F35">
        <v>57</v>
      </c>
      <c r="G35" s="3">
        <f t="shared" si="0"/>
        <v>419066.96419158956</v>
      </c>
    </row>
    <row r="36" spans="5:7">
      <c r="F36">
        <v>58</v>
      </c>
      <c r="G36" s="3">
        <f t="shared" si="0"/>
        <v>423467.16731560125</v>
      </c>
    </row>
    <row r="37" spans="5:7">
      <c r="F37">
        <v>59</v>
      </c>
      <c r="G37" s="3">
        <f t="shared" si="0"/>
        <v>427913.57257241505</v>
      </c>
    </row>
    <row r="38" spans="5:7">
      <c r="F38">
        <v>60</v>
      </c>
      <c r="G38" s="3">
        <f t="shared" si="0"/>
        <v>432406.66508442542</v>
      </c>
    </row>
    <row r="39" spans="5:7">
      <c r="F39">
        <v>61</v>
      </c>
      <c r="G39" s="3">
        <f t="shared" si="0"/>
        <v>436946.93506781186</v>
      </c>
    </row>
    <row r="40" spans="5:7">
      <c r="F40">
        <v>62</v>
      </c>
      <c r="G40" s="3">
        <f t="shared" si="0"/>
        <v>441534.8778860239</v>
      </c>
    </row>
    <row r="41" spans="5:7">
      <c r="F41">
        <v>63</v>
      </c>
      <c r="G41" s="3">
        <f t="shared" si="0"/>
        <v>446170.99410382711</v>
      </c>
    </row>
    <row r="42" spans="5:7">
      <c r="F42">
        <v>64</v>
      </c>
      <c r="G42" s="3">
        <f t="shared" si="0"/>
        <v>450855.78954191727</v>
      </c>
    </row>
    <row r="43" spans="5:7">
      <c r="F43">
        <v>65</v>
      </c>
      <c r="G43" s="3">
        <f t="shared" si="0"/>
        <v>455589.77533210738</v>
      </c>
    </row>
    <row r="44" spans="5:7">
      <c r="F44">
        <v>66</v>
      </c>
      <c r="G44" s="3">
        <f t="shared" si="0"/>
        <v>460373.46797309449</v>
      </c>
    </row>
    <row r="45" spans="5:7">
      <c r="F45">
        <v>67</v>
      </c>
      <c r="G45" s="3">
        <f t="shared" si="0"/>
        <v>465207.38938681193</v>
      </c>
    </row>
    <row r="46" spans="5:7">
      <c r="F46">
        <v>68</v>
      </c>
      <c r="G46" s="3">
        <f t="shared" si="0"/>
        <v>470092.06697537343</v>
      </c>
    </row>
    <row r="47" spans="5:7">
      <c r="E47" s="5">
        <v>0.55000000000000004</v>
      </c>
      <c r="F47">
        <v>69</v>
      </c>
      <c r="G47" s="3">
        <f t="shared" si="0"/>
        <v>475028.03367861483</v>
      </c>
    </row>
    <row r="48" spans="5:7">
      <c r="E48" s="5">
        <v>0.43</v>
      </c>
      <c r="F48">
        <v>70</v>
      </c>
      <c r="G48" s="6">
        <f>$E$7*$E$47</f>
        <v>209542.23368832289</v>
      </c>
    </row>
    <row r="49" spans="6:7">
      <c r="F49">
        <v>71</v>
      </c>
      <c r="G49" s="6">
        <f t="shared" ref="G49:G52" si="1">$E$7*$E$47</f>
        <v>209542.23368832289</v>
      </c>
    </row>
    <row r="50" spans="6:7">
      <c r="F50">
        <v>72</v>
      </c>
      <c r="G50" s="6">
        <f t="shared" si="1"/>
        <v>209542.23368832289</v>
      </c>
    </row>
    <row r="51" spans="6:7">
      <c r="F51">
        <v>73</v>
      </c>
      <c r="G51" s="6">
        <f t="shared" si="1"/>
        <v>209542.23368832289</v>
      </c>
    </row>
    <row r="52" spans="6:7">
      <c r="F52">
        <v>74</v>
      </c>
      <c r="G52" s="6">
        <f t="shared" si="1"/>
        <v>209542.23368832289</v>
      </c>
    </row>
    <row r="53" spans="6:7">
      <c r="F53">
        <v>75</v>
      </c>
      <c r="G53" s="6">
        <f>$E$7*$E$48</f>
        <v>163823.92815632516</v>
      </c>
    </row>
    <row r="54" spans="6:7">
      <c r="F54">
        <v>76</v>
      </c>
      <c r="G54" s="6">
        <f t="shared" ref="G54:G70" si="2">$E$7*$E$48</f>
        <v>163823.92815632516</v>
      </c>
    </row>
    <row r="55" spans="6:7">
      <c r="F55">
        <v>77</v>
      </c>
      <c r="G55" s="6">
        <f t="shared" si="2"/>
        <v>163823.92815632516</v>
      </c>
    </row>
    <row r="56" spans="6:7">
      <c r="F56">
        <v>78</v>
      </c>
      <c r="G56" s="6">
        <f t="shared" si="2"/>
        <v>163823.92815632516</v>
      </c>
    </row>
    <row r="57" spans="6:7">
      <c r="F57">
        <v>79</v>
      </c>
      <c r="G57" s="6">
        <f t="shared" si="2"/>
        <v>163823.92815632516</v>
      </c>
    </row>
    <row r="58" spans="6:7">
      <c r="F58">
        <v>80</v>
      </c>
      <c r="G58" s="6">
        <f t="shared" si="2"/>
        <v>163823.92815632516</v>
      </c>
    </row>
    <row r="59" spans="6:7">
      <c r="F59">
        <v>81</v>
      </c>
      <c r="G59" s="6">
        <f t="shared" si="2"/>
        <v>163823.92815632516</v>
      </c>
    </row>
    <row r="60" spans="6:7">
      <c r="F60">
        <v>82</v>
      </c>
      <c r="G60" s="6">
        <f t="shared" si="2"/>
        <v>163823.92815632516</v>
      </c>
    </row>
    <row r="61" spans="6:7">
      <c r="F61">
        <v>83</v>
      </c>
      <c r="G61" s="6">
        <f t="shared" si="2"/>
        <v>163823.92815632516</v>
      </c>
    </row>
    <row r="62" spans="6:7">
      <c r="F62">
        <v>84</v>
      </c>
      <c r="G62" s="6">
        <f t="shared" si="2"/>
        <v>163823.92815632516</v>
      </c>
    </row>
    <row r="63" spans="6:7">
      <c r="F63">
        <v>85</v>
      </c>
      <c r="G63" s="6">
        <f t="shared" si="2"/>
        <v>163823.92815632516</v>
      </c>
    </row>
    <row r="64" spans="6:7">
      <c r="F64">
        <v>86</v>
      </c>
      <c r="G64" s="6">
        <f t="shared" si="2"/>
        <v>163823.92815632516</v>
      </c>
    </row>
    <row r="65" spans="6:7">
      <c r="F65">
        <v>87</v>
      </c>
      <c r="G65" s="6">
        <f t="shared" si="2"/>
        <v>163823.92815632516</v>
      </c>
    </row>
    <row r="66" spans="6:7">
      <c r="F66">
        <v>88</v>
      </c>
      <c r="G66" s="6">
        <f t="shared" si="2"/>
        <v>163823.92815632516</v>
      </c>
    </row>
    <row r="67" spans="6:7">
      <c r="F67">
        <v>89</v>
      </c>
      <c r="G67" s="6">
        <f t="shared" si="2"/>
        <v>163823.92815632516</v>
      </c>
    </row>
    <row r="68" spans="6:7">
      <c r="F68">
        <v>90</v>
      </c>
      <c r="G68" s="6">
        <f t="shared" si="2"/>
        <v>163823.92815632516</v>
      </c>
    </row>
    <row r="69" spans="6:7">
      <c r="F69">
        <v>91</v>
      </c>
      <c r="G69" s="6">
        <f t="shared" si="2"/>
        <v>163823.92815632516</v>
      </c>
    </row>
    <row r="70" spans="6:7">
      <c r="F70">
        <v>92</v>
      </c>
      <c r="G70" s="6">
        <f t="shared" si="2"/>
        <v>163823.92815632516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4304-D325-42E3-B94D-E5245DE76DD5}">
  <dimension ref="C4:D72"/>
  <sheetViews>
    <sheetView tabSelected="1" workbookViewId="0">
      <selection activeCell="Z28" sqref="Z28"/>
    </sheetView>
  </sheetViews>
  <sheetFormatPr defaultRowHeight="14.45"/>
  <cols>
    <col min="3" max="3" width="8.85546875" bestFit="1" customWidth="1"/>
    <col min="4" max="4" width="11.42578125" customWidth="1"/>
  </cols>
  <sheetData>
    <row r="4" spans="3:4">
      <c r="C4" t="s">
        <v>2</v>
      </c>
      <c r="D4" t="s">
        <v>3</v>
      </c>
    </row>
    <row r="5" spans="3:4">
      <c r="C5" s="3">
        <v>25</v>
      </c>
      <c r="D5" s="3">
        <v>300000</v>
      </c>
    </row>
    <row r="6" spans="3:4">
      <c r="C6" s="3">
        <v>26</v>
      </c>
      <c r="D6" s="3">
        <v>303150</v>
      </c>
    </row>
    <row r="7" spans="3:4">
      <c r="C7" s="3">
        <v>27</v>
      </c>
      <c r="D7" s="3">
        <v>306333.07500000001</v>
      </c>
    </row>
    <row r="8" spans="3:4">
      <c r="C8" s="3">
        <v>28</v>
      </c>
      <c r="D8" s="3">
        <v>309549.57228750002</v>
      </c>
    </row>
    <row r="9" spans="3:4">
      <c r="C9" s="3">
        <v>29</v>
      </c>
      <c r="D9" s="3">
        <v>312799.84279651876</v>
      </c>
    </row>
    <row r="10" spans="3:4">
      <c r="C10" s="3">
        <v>30</v>
      </c>
      <c r="D10" s="3">
        <v>316084.24114588217</v>
      </c>
    </row>
    <row r="11" spans="3:4">
      <c r="C11" s="3">
        <v>31</v>
      </c>
      <c r="D11" s="3">
        <v>319403.12567791389</v>
      </c>
    </row>
    <row r="12" spans="3:4">
      <c r="C12" s="3">
        <v>32</v>
      </c>
      <c r="D12" s="3">
        <v>322756.85849753197</v>
      </c>
    </row>
    <row r="13" spans="3:4">
      <c r="C13" s="3">
        <v>33</v>
      </c>
      <c r="D13" s="3">
        <v>326145.80551175604</v>
      </c>
    </row>
    <row r="14" spans="3:4">
      <c r="C14" s="3">
        <v>34</v>
      </c>
      <c r="D14" s="3">
        <v>329570.33646962949</v>
      </c>
    </row>
    <row r="15" spans="3:4">
      <c r="C15" s="3">
        <v>35</v>
      </c>
      <c r="D15" s="3">
        <v>333030.82500256057</v>
      </c>
    </row>
    <row r="16" spans="3:4">
      <c r="C16" s="3">
        <v>36</v>
      </c>
      <c r="D16" s="3">
        <v>336527.64866508741</v>
      </c>
    </row>
    <row r="17" spans="3:4">
      <c r="C17" s="3">
        <v>37</v>
      </c>
      <c r="D17" s="3">
        <v>340061.18897607084</v>
      </c>
    </row>
    <row r="18" spans="3:4">
      <c r="C18" s="3">
        <v>38</v>
      </c>
      <c r="D18" s="3">
        <v>343631.83146031958</v>
      </c>
    </row>
    <row r="19" spans="3:4">
      <c r="C19" s="3">
        <v>39</v>
      </c>
      <c r="D19" s="3">
        <v>347239.9656906529</v>
      </c>
    </row>
    <row r="20" spans="3:4">
      <c r="C20" s="3">
        <v>40</v>
      </c>
      <c r="D20" s="3">
        <v>350885.98533040471</v>
      </c>
    </row>
    <row r="21" spans="3:4">
      <c r="C21" s="3">
        <v>41</v>
      </c>
      <c r="D21" s="3">
        <v>354570.28817637393</v>
      </c>
    </row>
    <row r="22" spans="3:4">
      <c r="C22" s="3">
        <v>42</v>
      </c>
      <c r="D22" s="3">
        <v>358293.27620222582</v>
      </c>
    </row>
    <row r="23" spans="3:4">
      <c r="C23" s="3">
        <v>43</v>
      </c>
      <c r="D23" s="3">
        <v>362055.35560234915</v>
      </c>
    </row>
    <row r="24" spans="3:4">
      <c r="C24" s="3">
        <v>44</v>
      </c>
      <c r="D24" s="3">
        <v>365856.93683617382</v>
      </c>
    </row>
    <row r="25" spans="3:4">
      <c r="C25" s="3">
        <v>45</v>
      </c>
      <c r="D25" s="3">
        <v>369698.43467295362</v>
      </c>
    </row>
    <row r="26" spans="3:4">
      <c r="C26" s="3">
        <v>46</v>
      </c>
      <c r="D26" s="3">
        <v>373580.2682370196</v>
      </c>
    </row>
    <row r="27" spans="3:4">
      <c r="C27" s="3">
        <v>47</v>
      </c>
      <c r="D27" s="3">
        <v>377502.8610535083</v>
      </c>
    </row>
    <row r="28" spans="3:4">
      <c r="C28" s="3">
        <v>48</v>
      </c>
      <c r="D28" s="3">
        <v>381466.64109457011</v>
      </c>
    </row>
    <row r="29" spans="3:4">
      <c r="C29" s="3">
        <v>49</v>
      </c>
      <c r="D29" s="3">
        <v>385472.04082606308</v>
      </c>
    </row>
    <row r="30" spans="3:4">
      <c r="C30" s="3">
        <v>50</v>
      </c>
      <c r="D30" s="3">
        <v>389519.49725473672</v>
      </c>
    </row>
    <row r="31" spans="3:4">
      <c r="C31" s="3">
        <v>51</v>
      </c>
      <c r="D31" s="3">
        <v>393609.45197591145</v>
      </c>
    </row>
    <row r="32" spans="3:4">
      <c r="C32" s="3">
        <v>52</v>
      </c>
      <c r="D32" s="3">
        <v>397742.35122165852</v>
      </c>
    </row>
    <row r="33" spans="3:4">
      <c r="C33" s="3">
        <v>53</v>
      </c>
      <c r="D33" s="3">
        <v>401918.64590948593</v>
      </c>
    </row>
    <row r="34" spans="3:4">
      <c r="C34" s="3">
        <v>54</v>
      </c>
      <c r="D34" s="3">
        <v>406138.7916915355</v>
      </c>
    </row>
    <row r="35" spans="3:4">
      <c r="C35" s="3">
        <v>55</v>
      </c>
      <c r="D35" s="3">
        <v>410403.24900429661</v>
      </c>
    </row>
    <row r="36" spans="3:4">
      <c r="C36" s="3">
        <v>56</v>
      </c>
      <c r="D36" s="3">
        <v>414712.48311884172</v>
      </c>
    </row>
    <row r="37" spans="3:4">
      <c r="C37" s="3">
        <v>57</v>
      </c>
      <c r="D37" s="3">
        <v>419066.96419158956</v>
      </c>
    </row>
    <row r="38" spans="3:4">
      <c r="C38" s="3">
        <v>58</v>
      </c>
      <c r="D38" s="3">
        <v>423467.16731560125</v>
      </c>
    </row>
    <row r="39" spans="3:4">
      <c r="C39" s="3">
        <v>59</v>
      </c>
      <c r="D39" s="3">
        <v>427913.57257241505</v>
      </c>
    </row>
    <row r="40" spans="3:4">
      <c r="C40" s="3">
        <v>60</v>
      </c>
      <c r="D40" s="3">
        <v>432406.66508442542</v>
      </c>
    </row>
    <row r="41" spans="3:4">
      <c r="C41" s="3">
        <v>61</v>
      </c>
      <c r="D41" s="3">
        <v>436946.93506781186</v>
      </c>
    </row>
    <row r="42" spans="3:4">
      <c r="C42" s="3">
        <v>62</v>
      </c>
      <c r="D42" s="3">
        <v>441534.8778860239</v>
      </c>
    </row>
    <row r="43" spans="3:4">
      <c r="C43" s="3">
        <v>63</v>
      </c>
      <c r="D43" s="3">
        <v>446170.99410382711</v>
      </c>
    </row>
    <row r="44" spans="3:4">
      <c r="C44" s="3">
        <v>64</v>
      </c>
      <c r="D44" s="3">
        <v>450855.78954191727</v>
      </c>
    </row>
    <row r="45" spans="3:4">
      <c r="C45" s="3">
        <v>65</v>
      </c>
      <c r="D45" s="3">
        <v>455589.77533210738</v>
      </c>
    </row>
    <row r="46" spans="3:4">
      <c r="C46" s="3">
        <v>66</v>
      </c>
      <c r="D46" s="3">
        <v>460373.46797309449</v>
      </c>
    </row>
    <row r="47" spans="3:4">
      <c r="C47" s="3">
        <v>67</v>
      </c>
      <c r="D47" s="3">
        <v>465207.38938681193</v>
      </c>
    </row>
    <row r="48" spans="3:4">
      <c r="C48" s="3">
        <v>68</v>
      </c>
      <c r="D48" s="3">
        <v>470092.06697537343</v>
      </c>
    </row>
    <row r="49" spans="3:4">
      <c r="C49" s="3">
        <v>69</v>
      </c>
      <c r="D49" s="3">
        <v>475028.03367861483</v>
      </c>
    </row>
    <row r="50" spans="3:4">
      <c r="C50" s="3">
        <v>70</v>
      </c>
      <c r="D50" s="3">
        <v>209542.23368832289</v>
      </c>
    </row>
    <row r="51" spans="3:4">
      <c r="C51" s="3">
        <v>71</v>
      </c>
      <c r="D51" s="3">
        <v>209542.23368832289</v>
      </c>
    </row>
    <row r="52" spans="3:4">
      <c r="C52" s="3">
        <v>72</v>
      </c>
      <c r="D52" s="3">
        <v>209542.23368832289</v>
      </c>
    </row>
    <row r="53" spans="3:4">
      <c r="C53" s="3">
        <v>73</v>
      </c>
      <c r="D53" s="3">
        <v>209542.23368832289</v>
      </c>
    </row>
    <row r="54" spans="3:4">
      <c r="C54" s="3">
        <v>74</v>
      </c>
      <c r="D54" s="3">
        <v>209542.23368832289</v>
      </c>
    </row>
    <row r="55" spans="3:4">
      <c r="C55" s="3">
        <v>75</v>
      </c>
      <c r="D55" s="3">
        <v>163823.92815632516</v>
      </c>
    </row>
    <row r="56" spans="3:4">
      <c r="C56" s="3">
        <v>76</v>
      </c>
      <c r="D56" s="3">
        <v>163823.92815632516</v>
      </c>
    </row>
    <row r="57" spans="3:4">
      <c r="C57" s="3">
        <v>77</v>
      </c>
      <c r="D57" s="3">
        <v>163823.92815632516</v>
      </c>
    </row>
    <row r="58" spans="3:4">
      <c r="C58" s="3">
        <v>78</v>
      </c>
      <c r="D58" s="3">
        <v>163823.92815632516</v>
      </c>
    </row>
    <row r="59" spans="3:4">
      <c r="C59" s="3">
        <v>79</v>
      </c>
      <c r="D59" s="3">
        <v>163823.92815632516</v>
      </c>
    </row>
    <row r="60" spans="3:4">
      <c r="C60" s="3">
        <v>80</v>
      </c>
      <c r="D60" s="3">
        <v>163823.92815632516</v>
      </c>
    </row>
    <row r="61" spans="3:4">
      <c r="C61" s="3">
        <v>81</v>
      </c>
      <c r="D61" s="3">
        <v>163823.92815632516</v>
      </c>
    </row>
    <row r="62" spans="3:4">
      <c r="C62" s="3">
        <v>82</v>
      </c>
      <c r="D62" s="3">
        <v>163823.92815632516</v>
      </c>
    </row>
    <row r="63" spans="3:4">
      <c r="C63" s="3">
        <v>83</v>
      </c>
      <c r="D63" s="3">
        <v>163823.92815632516</v>
      </c>
    </row>
    <row r="64" spans="3:4">
      <c r="C64" s="3">
        <v>84</v>
      </c>
      <c r="D64" s="3">
        <v>163823.92815632516</v>
      </c>
    </row>
    <row r="65" spans="3:4">
      <c r="C65" s="3">
        <v>85</v>
      </c>
      <c r="D65" s="3">
        <v>163823.92815632516</v>
      </c>
    </row>
    <row r="66" spans="3:4">
      <c r="C66" s="3">
        <v>86</v>
      </c>
      <c r="D66" s="3">
        <v>163823.92815632516</v>
      </c>
    </row>
    <row r="67" spans="3:4">
      <c r="C67" s="3">
        <v>87</v>
      </c>
      <c r="D67" s="3">
        <v>163823.92815632516</v>
      </c>
    </row>
    <row r="68" spans="3:4">
      <c r="C68" s="3">
        <v>88</v>
      </c>
      <c r="D68" s="3">
        <v>163823.92815632516</v>
      </c>
    </row>
    <row r="69" spans="3:4">
      <c r="C69" s="3">
        <v>89</v>
      </c>
      <c r="D69" s="3">
        <v>163823.92815632516</v>
      </c>
    </row>
    <row r="70" spans="3:4">
      <c r="C70" s="3">
        <v>90</v>
      </c>
      <c r="D70" s="3">
        <v>163823.92815632516</v>
      </c>
    </row>
    <row r="71" spans="3:4">
      <c r="C71" s="3">
        <v>91</v>
      </c>
      <c r="D71" s="3">
        <v>163823.92815632516</v>
      </c>
    </row>
    <row r="72" spans="3:4">
      <c r="C72" s="3">
        <v>92</v>
      </c>
      <c r="D72" s="3">
        <v>163823.92815632516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A04B-9F88-4BAC-8B18-EA9F4FF71804}">
  <dimension ref="A1"/>
  <sheetViews>
    <sheetView zoomScale="63" zoomScaleNormal="63" workbookViewId="0">
      <selection activeCell="T19" sqref="T19"/>
    </sheetView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B115E-97F6-480D-82DB-C34FF147F6CD}"/>
</file>

<file path=customXml/itemProps2.xml><?xml version="1.0" encoding="utf-8"?>
<ds:datastoreItem xmlns:ds="http://schemas.openxmlformats.org/officeDocument/2006/customXml" ds:itemID="{A4B57134-4621-4E46-B8E4-665BA741A2BA}"/>
</file>

<file path=customXml/itemProps3.xml><?xml version="1.0" encoding="utf-8"?>
<ds:datastoreItem xmlns:ds="http://schemas.openxmlformats.org/officeDocument/2006/customXml" ds:itemID="{BEB4383F-2CD5-497D-81FB-DBD3B0F6838C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Berg, Aron</dc:creator>
  <cp:keywords/>
  <dc:description/>
  <cp:lastModifiedBy>Berg, Aron</cp:lastModifiedBy>
  <cp:revision/>
  <dcterms:created xsi:type="dcterms:W3CDTF">2024-07-31T14:13:03Z</dcterms:created>
  <dcterms:modified xsi:type="dcterms:W3CDTF">2024-08-06T10:49:35Z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