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https://storebrand.sharepoint.com/sites/TeamBM/Shared Documents/General/Data/"/>
    </mc:Choice>
  </mc:AlternateContent>
  <xr:revisionPtr revIDLastSave="1086" documentId="11_54B70BBF04827C1D02D592D13104B58FE9CD428D" xr6:coauthVersionLast="47" xr6:coauthVersionMax="47" xr10:uidLastSave="{C914EA33-6DCE-44EA-BBC1-6E7D865EAD07}"/>
  <bookViews>
    <workbookView xWindow="-108" yWindow="-108" windowWidth="23256" windowHeight="13896" firstSheet="1" activeTab="2" xr2:uid="{00000000-000D-0000-FFFF-FFFF00000000}"/>
  </bookViews>
  <sheets>
    <sheet name="Antall ansatte" sheetId="1" r:id="rId1"/>
    <sheet name="Call duration by segment" sheetId="5" r:id="rId2"/>
    <sheet name="Call duration by industry" sheetId="6" r:id="rId3"/>
    <sheet name="Bransje" sheetId="2" r:id="rId4"/>
    <sheet name="Bransje (2-10)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4" i="1"/>
  <c r="K5" i="1"/>
  <c r="K6" i="1"/>
  <c r="K7" i="1"/>
  <c r="K8" i="1"/>
  <c r="K9" i="1"/>
  <c r="K3" i="1"/>
  <c r="F9" i="5"/>
  <c r="F8" i="5"/>
  <c r="F7" i="5"/>
  <c r="F6" i="5"/>
  <c r="F5" i="5"/>
  <c r="F4" i="5"/>
  <c r="F3" i="5"/>
  <c r="E10" i="5"/>
  <c r="D10" i="5"/>
  <c r="C10" i="5"/>
  <c r="J3" i="5"/>
  <c r="J4" i="5"/>
  <c r="J5" i="5"/>
  <c r="J6" i="5"/>
  <c r="J7" i="5"/>
  <c r="J8" i="5"/>
  <c r="J9" i="5"/>
  <c r="C40" i="6"/>
  <c r="C154" i="6"/>
  <c r="C20" i="6"/>
  <c r="C131" i="6"/>
  <c r="C64" i="6"/>
  <c r="C128" i="6"/>
  <c r="C51" i="6"/>
  <c r="C71" i="6"/>
  <c r="C65" i="6"/>
  <c r="C144" i="6"/>
  <c r="C39" i="6"/>
  <c r="C7" i="6"/>
  <c r="C134" i="6"/>
  <c r="C50" i="6"/>
  <c r="C5" i="6"/>
  <c r="C90" i="6"/>
  <c r="C110" i="6"/>
  <c r="C77" i="6"/>
  <c r="C96" i="6"/>
  <c r="C113" i="6"/>
  <c r="C108" i="6"/>
  <c r="C19" i="6"/>
  <c r="C116" i="6"/>
  <c r="C8" i="6"/>
  <c r="C105" i="6"/>
  <c r="C156" i="6"/>
  <c r="C94" i="6"/>
  <c r="C18" i="6"/>
  <c r="C35" i="6"/>
  <c r="C147" i="6"/>
  <c r="C55" i="6"/>
  <c r="C14" i="6"/>
  <c r="C73" i="6"/>
  <c r="C33" i="6"/>
  <c r="C98" i="6"/>
  <c r="C21" i="6"/>
  <c r="C26" i="6"/>
  <c r="C9" i="6"/>
  <c r="C137" i="6"/>
  <c r="C42" i="6"/>
  <c r="C140" i="6"/>
  <c r="C142" i="6"/>
  <c r="C80" i="6"/>
  <c r="C125" i="6"/>
  <c r="C99" i="6"/>
  <c r="C121" i="6"/>
  <c r="C112" i="6"/>
  <c r="C72" i="6"/>
  <c r="C95" i="6"/>
  <c r="C61" i="6"/>
  <c r="C6" i="6"/>
  <c r="C82" i="6"/>
  <c r="C129" i="6"/>
  <c r="C136" i="6"/>
  <c r="C25" i="6"/>
  <c r="C16" i="6"/>
  <c r="C150" i="6"/>
  <c r="C68" i="6"/>
  <c r="C78" i="6"/>
  <c r="C148" i="6"/>
  <c r="C104" i="6"/>
  <c r="C41" i="6"/>
  <c r="C123" i="6"/>
  <c r="C36" i="6"/>
  <c r="C69" i="6"/>
  <c r="C15" i="6"/>
  <c r="C124" i="6"/>
  <c r="C119" i="6"/>
  <c r="C54" i="6"/>
  <c r="C88" i="6"/>
  <c r="C101" i="6"/>
  <c r="C138" i="6"/>
  <c r="C53" i="6"/>
  <c r="C10" i="6"/>
  <c r="C132" i="6"/>
  <c r="C49" i="6"/>
  <c r="C133" i="6"/>
  <c r="C30" i="6"/>
  <c r="C103" i="6"/>
  <c r="C155" i="6"/>
  <c r="C146" i="6"/>
  <c r="C85" i="6"/>
  <c r="C60" i="6"/>
  <c r="C92" i="6"/>
  <c r="C149" i="6"/>
  <c r="C145" i="6"/>
  <c r="C38" i="6"/>
  <c r="C126" i="6"/>
  <c r="C89" i="6"/>
  <c r="C91" i="6"/>
  <c r="C37" i="6"/>
  <c r="C107" i="6"/>
  <c r="C34" i="6"/>
  <c r="C135" i="6"/>
  <c r="C151" i="6"/>
  <c r="C67" i="6"/>
  <c r="C45" i="6"/>
  <c r="C87" i="6"/>
  <c r="C130" i="6"/>
  <c r="C3" i="6"/>
  <c r="C12" i="6"/>
  <c r="C109" i="6"/>
  <c r="C79" i="6"/>
  <c r="C59" i="6"/>
  <c r="C143" i="6"/>
  <c r="C114" i="6"/>
  <c r="C115" i="6"/>
  <c r="C81" i="6"/>
  <c r="C22" i="6"/>
  <c r="C52" i="6"/>
  <c r="C106" i="6"/>
  <c r="C118" i="6"/>
  <c r="C75" i="6"/>
  <c r="C31" i="6"/>
  <c r="C152" i="6"/>
  <c r="C120" i="6"/>
  <c r="C48" i="6"/>
  <c r="C93" i="6"/>
  <c r="C32" i="6"/>
  <c r="C84" i="6"/>
  <c r="C70" i="6"/>
  <c r="C141" i="6"/>
  <c r="C100" i="6"/>
  <c r="C47" i="6"/>
  <c r="C102" i="6"/>
  <c r="C76" i="6"/>
  <c r="C28" i="6"/>
  <c r="C57" i="6"/>
  <c r="C117" i="6"/>
  <c r="C153" i="6"/>
  <c r="C127" i="6"/>
  <c r="C29" i="6"/>
  <c r="C44" i="6"/>
  <c r="C97" i="6"/>
  <c r="C74" i="6"/>
  <c r="C11" i="6"/>
  <c r="C111" i="6"/>
  <c r="C63" i="6"/>
  <c r="C56" i="6"/>
  <c r="C86" i="6"/>
  <c r="C58" i="6"/>
  <c r="C139" i="6"/>
  <c r="C83" i="6"/>
  <c r="C24" i="6"/>
  <c r="C13" i="6"/>
  <c r="C43" i="6"/>
  <c r="C46" i="6"/>
  <c r="C66" i="6"/>
  <c r="C27" i="6"/>
  <c r="C122" i="6"/>
  <c r="C17" i="6"/>
  <c r="C4" i="6"/>
  <c r="C23" i="6"/>
  <c r="C62" i="6"/>
  <c r="C14" i="5"/>
  <c r="C15" i="5"/>
  <c r="E5" i="5"/>
  <c r="E6" i="5"/>
  <c r="E7" i="5"/>
  <c r="E8" i="5"/>
  <c r="E9" i="5"/>
  <c r="E3" i="5"/>
  <c r="D5" i="5"/>
  <c r="D6" i="5"/>
  <c r="C16" i="5" s="1"/>
  <c r="D7" i="5"/>
  <c r="C17" i="5" s="1"/>
  <c r="D8" i="5"/>
  <c r="C18" i="5" s="1"/>
  <c r="D9" i="5"/>
  <c r="C19" i="5" s="1"/>
  <c r="D4" i="5"/>
  <c r="E4" i="5" s="1"/>
  <c r="D3" i="5"/>
  <c r="C13" i="5" s="1"/>
  <c r="I10" i="1"/>
  <c r="J10" i="1"/>
  <c r="H10" i="1"/>
  <c r="G10" i="1"/>
  <c r="J5" i="1"/>
  <c r="J6" i="1"/>
  <c r="J7" i="1"/>
  <c r="J8" i="1"/>
  <c r="J9" i="1"/>
  <c r="H5" i="1"/>
  <c r="H6" i="1"/>
  <c r="H7" i="1"/>
  <c r="H8" i="1"/>
  <c r="H9" i="1"/>
  <c r="J4" i="1"/>
  <c r="H4" i="1"/>
  <c r="E10" i="1"/>
  <c r="F9" i="1" s="1"/>
  <c r="C29" i="4"/>
  <c r="D23" i="4" s="1"/>
  <c r="C29" i="2"/>
  <c r="D21" i="2" s="1"/>
  <c r="J29" i="4"/>
  <c r="G29" i="4"/>
  <c r="E29" i="4"/>
  <c r="F28" i="4" s="1"/>
  <c r="K28" i="4"/>
  <c r="H28" i="4"/>
  <c r="K27" i="4"/>
  <c r="H27" i="4"/>
  <c r="K26" i="4"/>
  <c r="H26" i="4"/>
  <c r="K25" i="4"/>
  <c r="H25" i="4"/>
  <c r="K24" i="4"/>
  <c r="H24" i="4"/>
  <c r="K23" i="4"/>
  <c r="H23" i="4"/>
  <c r="K22" i="4"/>
  <c r="H22" i="4"/>
  <c r="K21" i="4"/>
  <c r="H21" i="4"/>
  <c r="K20" i="4"/>
  <c r="H20" i="4"/>
  <c r="K19" i="4"/>
  <c r="H19" i="4"/>
  <c r="K18" i="4"/>
  <c r="H18" i="4"/>
  <c r="K17" i="4"/>
  <c r="H17" i="4"/>
  <c r="K16" i="4"/>
  <c r="H16" i="4"/>
  <c r="K15" i="4"/>
  <c r="H15" i="4"/>
  <c r="K14" i="4"/>
  <c r="H14" i="4"/>
  <c r="K13" i="4"/>
  <c r="H13" i="4"/>
  <c r="K12" i="4"/>
  <c r="H12" i="4"/>
  <c r="K11" i="4"/>
  <c r="H11" i="4"/>
  <c r="K10" i="4"/>
  <c r="H10" i="4"/>
  <c r="K9" i="4"/>
  <c r="H9" i="4"/>
  <c r="K8" i="4"/>
  <c r="H8" i="4"/>
  <c r="K7" i="4"/>
  <c r="H7" i="4"/>
  <c r="K6" i="4"/>
  <c r="H6" i="4"/>
  <c r="K5" i="4"/>
  <c r="H5" i="4"/>
  <c r="K4" i="4"/>
  <c r="H4" i="4"/>
  <c r="K3" i="4"/>
  <c r="H3" i="4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3" i="2"/>
  <c r="J29" i="2"/>
  <c r="G29" i="2"/>
  <c r="F29" i="2"/>
  <c r="E29" i="2"/>
  <c r="C10" i="1"/>
  <c r="D3" i="1" s="1"/>
  <c r="F10" i="5" l="1"/>
  <c r="F4" i="1"/>
  <c r="F10" i="1"/>
  <c r="F5" i="1"/>
  <c r="F3" i="1"/>
  <c r="F6" i="1"/>
  <c r="F8" i="1"/>
  <c r="F7" i="1"/>
  <c r="F21" i="4"/>
  <c r="F11" i="4"/>
  <c r="F7" i="4"/>
  <c r="D5" i="2"/>
  <c r="D6" i="2"/>
  <c r="D7" i="2"/>
  <c r="D8" i="2"/>
  <c r="D9" i="2"/>
  <c r="F17" i="4"/>
  <c r="F27" i="4"/>
  <c r="F23" i="4"/>
  <c r="F3" i="4"/>
  <c r="F13" i="4"/>
  <c r="F9" i="4"/>
  <c r="F25" i="4"/>
  <c r="D5" i="4"/>
  <c r="D12" i="4"/>
  <c r="D9" i="4"/>
  <c r="D27" i="4"/>
  <c r="D6" i="4"/>
  <c r="D17" i="4"/>
  <c r="D21" i="4"/>
  <c r="D7" i="4"/>
  <c r="D14" i="4"/>
  <c r="D28" i="4"/>
  <c r="D18" i="4"/>
  <c r="D4" i="4"/>
  <c r="D16" i="4"/>
  <c r="D13" i="4"/>
  <c r="D10" i="4"/>
  <c r="D25" i="4"/>
  <c r="D11" i="4"/>
  <c r="D8" i="4"/>
  <c r="D15" i="4"/>
  <c r="D26" i="4"/>
  <c r="D20" i="4"/>
  <c r="D24" i="4"/>
  <c r="D3" i="4"/>
  <c r="D19" i="4"/>
  <c r="F15" i="4"/>
  <c r="F5" i="4"/>
  <c r="F19" i="4"/>
  <c r="K29" i="4"/>
  <c r="L19" i="4" s="1"/>
  <c r="D17" i="2"/>
  <c r="D18" i="2"/>
  <c r="D16" i="2"/>
  <c r="D19" i="2"/>
  <c r="D20" i="2"/>
  <c r="K29" i="2"/>
  <c r="L27" i="2" s="1"/>
  <c r="D10" i="2"/>
  <c r="D22" i="2"/>
  <c r="D27" i="2"/>
  <c r="D3" i="2"/>
  <c r="D11" i="2"/>
  <c r="D23" i="2"/>
  <c r="D12" i="2"/>
  <c r="D24" i="2"/>
  <c r="D13" i="2"/>
  <c r="D25" i="2"/>
  <c r="D14" i="2"/>
  <c r="D26" i="2"/>
  <c r="D15" i="2"/>
  <c r="D28" i="2"/>
  <c r="D4" i="2"/>
  <c r="D22" i="4"/>
  <c r="H29" i="4"/>
  <c r="I17" i="4" s="1"/>
  <c r="F4" i="4"/>
  <c r="F6" i="4"/>
  <c r="F8" i="4"/>
  <c r="F10" i="4"/>
  <c r="F12" i="4"/>
  <c r="F14" i="4"/>
  <c r="F16" i="4"/>
  <c r="F18" i="4"/>
  <c r="F20" i="4"/>
  <c r="F22" i="4"/>
  <c r="F24" i="4"/>
  <c r="F26" i="4"/>
  <c r="H29" i="2"/>
  <c r="D5" i="1"/>
  <c r="D9" i="1"/>
  <c r="D7" i="1"/>
  <c r="D4" i="1"/>
  <c r="D8" i="1"/>
  <c r="D6" i="1"/>
  <c r="L22" i="2" l="1"/>
  <c r="L23" i="2"/>
  <c r="L12" i="2"/>
  <c r="L28" i="2"/>
  <c r="L17" i="2"/>
  <c r="F29" i="4"/>
  <c r="D29" i="4"/>
  <c r="L25" i="4"/>
  <c r="L10" i="4"/>
  <c r="L12" i="4"/>
  <c r="L8" i="4"/>
  <c r="L18" i="4"/>
  <c r="L22" i="4"/>
  <c r="L11" i="4"/>
  <c r="L20" i="4"/>
  <c r="L21" i="4"/>
  <c r="L13" i="4"/>
  <c r="L4" i="4"/>
  <c r="L15" i="4"/>
  <c r="L6" i="4"/>
  <c r="L16" i="4"/>
  <c r="L28" i="4"/>
  <c r="L9" i="4"/>
  <c r="L14" i="4"/>
  <c r="L26" i="4"/>
  <c r="L7" i="4"/>
  <c r="L5" i="4"/>
  <c r="L24" i="4"/>
  <c r="L17" i="4"/>
  <c r="L23" i="4"/>
  <c r="L3" i="4"/>
  <c r="L27" i="4"/>
  <c r="D29" i="2"/>
  <c r="L6" i="2"/>
  <c r="L3" i="2"/>
  <c r="L24" i="2"/>
  <c r="L18" i="2"/>
  <c r="L19" i="2"/>
  <c r="L13" i="2"/>
  <c r="L20" i="2"/>
  <c r="L25" i="2"/>
  <c r="L21" i="2"/>
  <c r="L14" i="2"/>
  <c r="L7" i="2"/>
  <c r="L26" i="2"/>
  <c r="L8" i="2"/>
  <c r="L15" i="2"/>
  <c r="L9" i="2"/>
  <c r="L4" i="2"/>
  <c r="L10" i="2"/>
  <c r="L16" i="2"/>
  <c r="L11" i="2"/>
  <c r="L5" i="2"/>
  <c r="I3" i="2"/>
  <c r="I27" i="2"/>
  <c r="I19" i="4"/>
  <c r="I11" i="4"/>
  <c r="I15" i="4"/>
  <c r="I27" i="4"/>
  <c r="I25" i="4"/>
  <c r="I7" i="4"/>
  <c r="I28" i="4"/>
  <c r="I26" i="4"/>
  <c r="I24" i="4"/>
  <c r="I22" i="4"/>
  <c r="I20" i="4"/>
  <c r="I18" i="4"/>
  <c r="I16" i="4"/>
  <c r="I14" i="4"/>
  <c r="I12" i="4"/>
  <c r="I10" i="4"/>
  <c r="I8" i="4"/>
  <c r="I6" i="4"/>
  <c r="I4" i="4"/>
  <c r="I23" i="4"/>
  <c r="I3" i="4"/>
  <c r="I21" i="4"/>
  <c r="I13" i="4"/>
  <c r="I9" i="4"/>
  <c r="I5" i="4"/>
  <c r="I17" i="2"/>
  <c r="I5" i="2"/>
  <c r="I28" i="2"/>
  <c r="I16" i="2"/>
  <c r="I4" i="2"/>
  <c r="I15" i="2"/>
  <c r="I26" i="2"/>
  <c r="I14" i="2"/>
  <c r="I25" i="2"/>
  <c r="I13" i="2"/>
  <c r="I24" i="2"/>
  <c r="I12" i="2"/>
  <c r="I23" i="2"/>
  <c r="I11" i="2"/>
  <c r="I22" i="2"/>
  <c r="I10" i="2"/>
  <c r="I21" i="2"/>
  <c r="I9" i="2"/>
  <c r="I20" i="2"/>
  <c r="I8" i="2"/>
  <c r="I19" i="2"/>
  <c r="I7" i="2"/>
  <c r="I18" i="2"/>
  <c r="I6" i="2"/>
  <c r="D10" i="1"/>
  <c r="L29" i="4" l="1"/>
  <c r="L29" i="2"/>
  <c r="I29" i="4"/>
  <c r="I29" i="2"/>
</calcChain>
</file>

<file path=xl/sharedStrings.xml><?xml version="1.0" encoding="utf-8"?>
<sst xmlns="http://schemas.openxmlformats.org/spreadsheetml/2006/main" count="280" uniqueCount="224">
  <si>
    <t>Totalt</t>
  </si>
  <si>
    <t>Sum</t>
  </si>
  <si>
    <t>51 - 100</t>
  </si>
  <si>
    <t>31 - 50</t>
  </si>
  <si>
    <t>11 - 30</t>
  </si>
  <si>
    <t>2 - 10</t>
  </si>
  <si>
    <t>Kunder (%)</t>
  </si>
  <si>
    <t>Kunder (#)</t>
  </si>
  <si>
    <t>Ansattsegment</t>
  </si>
  <si>
    <t>Næringsgruppe</t>
  </si>
  <si>
    <t>Andre tjenester</t>
  </si>
  <si>
    <t>Arkitekt</t>
  </si>
  <si>
    <t>Bil, reparasjon og transport</t>
  </si>
  <si>
    <t>Butikk</t>
  </si>
  <si>
    <t>Engros</t>
  </si>
  <si>
    <t>Entrepenørvirksomhet</t>
  </si>
  <si>
    <t>Farmasøytisk</t>
  </si>
  <si>
    <t>Ansatte (#)</t>
  </si>
  <si>
    <t>Ansatte (%)</t>
  </si>
  <si>
    <t>Finans</t>
  </si>
  <si>
    <t>Forskning og undervisning</t>
  </si>
  <si>
    <t>Total premie</t>
  </si>
  <si>
    <t>Total forvaltningsinntekt</t>
  </si>
  <si>
    <t>Avg forvaltningsinntekt</t>
  </si>
  <si>
    <t>Avg premie</t>
  </si>
  <si>
    <t>Frisør og skjønnhetspleie</t>
  </si>
  <si>
    <t>Helsetjenester</t>
  </si>
  <si>
    <t>Ikke angitt</t>
  </si>
  <si>
    <t>IKT</t>
  </si>
  <si>
    <t>Jordbruk, skogbruk og fiske</t>
  </si>
  <si>
    <t>Jus og regnskap</t>
  </si>
  <si>
    <t>Konsulent</t>
  </si>
  <si>
    <t>Kraft og industri</t>
  </si>
  <si>
    <t>Kultur og media</t>
  </si>
  <si>
    <t>Lønnet arbeid private husholdninger</t>
  </si>
  <si>
    <t>Medlemsorganisasjoner</t>
  </si>
  <si>
    <t>Næringsmiddelproduksjon</t>
  </si>
  <si>
    <t>Offentlig administrasjon</t>
  </si>
  <si>
    <t>Offshoreindustri</t>
  </si>
  <si>
    <t>Overnatting og servering</t>
  </si>
  <si>
    <t>Tekstil- og møbelproduksjon</t>
  </si>
  <si>
    <t>Vikar og bemanning</t>
  </si>
  <si>
    <t>Andel av total premie</t>
  </si>
  <si>
    <t>Andel av total forvaltningsinntekt</t>
  </si>
  <si>
    <t>Forvaltningsinntekter</t>
  </si>
  <si>
    <t>Gjennomsnittlig premie</t>
  </si>
  <si>
    <t>Normalisert forvaltning</t>
  </si>
  <si>
    <t>Normalisert premie</t>
  </si>
  <si>
    <t>101+</t>
  </si>
  <si>
    <t>CallDurationInSeconds</t>
  </si>
  <si>
    <t>31-50</t>
  </si>
  <si>
    <t>51-100</t>
  </si>
  <si>
    <t>100+</t>
  </si>
  <si>
    <t>2-10</t>
  </si>
  <si>
    <t>11-30</t>
  </si>
  <si>
    <t>Minutter</t>
  </si>
  <si>
    <t>Sekunder</t>
  </si>
  <si>
    <t>Kundesegment</t>
  </si>
  <si>
    <t>Timer</t>
  </si>
  <si>
    <t>NACE_Industry_Name__c</t>
  </si>
  <si>
    <t>Agenturhandel med tekstiler, klær, pelsskinn, skotøy og lærvarer</t>
  </si>
  <si>
    <t>Aktiviteter i andre interesseorganisasjoner ikke nevnt annet sted</t>
  </si>
  <si>
    <t>Allmenn legetjeneste</t>
  </si>
  <si>
    <t>Andre helsetjenester</t>
  </si>
  <si>
    <t>Andre tjenester tilknyttet informasjonsteknologi</t>
  </si>
  <si>
    <t>Andre tjenester tilknyttet undervisning</t>
  </si>
  <si>
    <t>Annen forebyggende helsetjeneste</t>
  </si>
  <si>
    <t>Annen forretningsmessig tjenesteyting ikke nevnt annet sted</t>
  </si>
  <si>
    <t>Annen forskning og annet utviklingsarbeid innen naturvitenskap og teknikk</t>
  </si>
  <si>
    <t>Annen spesialisert bygge- og anleggsvirksomhet</t>
  </si>
  <si>
    <t>Annen teknisk konsulentvirksomhet</t>
  </si>
  <si>
    <t>Annen undervisning ikke nevnt annet sted</t>
  </si>
  <si>
    <t>Arbeidstakerorganisasjoner</t>
  </si>
  <si>
    <t>Arbeidstrening for ordinært arbeidsmarked</t>
  </si>
  <si>
    <t>Arkitekttjenester vedrørende byggverk</t>
  </si>
  <si>
    <t>Bankvirksomhet ellers</t>
  </si>
  <si>
    <t>Barnehager</t>
  </si>
  <si>
    <t>Bearbeiding av metaller</t>
  </si>
  <si>
    <t>Bedriftsrådgivning og annen administrativ rådgivning</t>
  </si>
  <si>
    <t>Begravelsesbyråvirksomhet og drift av kirkegårder og krematorier</t>
  </si>
  <si>
    <t>Behandling og disponering av ikke-farlig avfall</t>
  </si>
  <si>
    <t>Beplantning av hager og parkanlegg</t>
  </si>
  <si>
    <t>Blikkenslagerarbeid på tak</t>
  </si>
  <si>
    <t>Borettslag</t>
  </si>
  <si>
    <t>Butikkhandel med apotekvarer</t>
  </si>
  <si>
    <t>Butikkhandel med bakervarer og konditorvarer</t>
  </si>
  <si>
    <t>Butikkhandel med blomster og planter</t>
  </si>
  <si>
    <t>Butikkhandel med bredt vareutvalg med hovedvekt på nærings- og nytelsesmidler</t>
  </si>
  <si>
    <t>Butikkhandel med brukte klær</t>
  </si>
  <si>
    <t>Butikkhandel med byggevarer ikke nevnt annet sted</t>
  </si>
  <si>
    <t>Butikkhandel med bøker</t>
  </si>
  <si>
    <t>Butikkhandel med fargevarer</t>
  </si>
  <si>
    <t>Butikkhandel med frukt og grønnsaker</t>
  </si>
  <si>
    <t>Butikkhandel med innredningsartikler ikke nevnt annet sted</t>
  </si>
  <si>
    <t>Butikkhandel med kjæledyr og fôr til kjæledyr</t>
  </si>
  <si>
    <t>Butikkhandel med klær</t>
  </si>
  <si>
    <t>Butikkhandel med møbler</t>
  </si>
  <si>
    <t>Butikkhandel med optiske artikler</t>
  </si>
  <si>
    <t>Butikkhandel med skotøy</t>
  </si>
  <si>
    <t>Butikkhandel med sportsutstyr</t>
  </si>
  <si>
    <t>Byggeteknisk konsulentvirksomhet</t>
  </si>
  <si>
    <t>Bygging av anlegg for elektrisitet og telekommunikasjon</t>
  </si>
  <si>
    <t>Bygging av bruer og tunneler</t>
  </si>
  <si>
    <t>Cateringvirksomhet</t>
  </si>
  <si>
    <t>Databehandling, datalagring og tilknyttede tjenester</t>
  </si>
  <si>
    <t>Detaljhandel med biler og lette motorvogner, unntatt motorsykler</t>
  </si>
  <si>
    <t>Detaljhandel med drivstoff til motorvogner</t>
  </si>
  <si>
    <t>Detaljhandel med motorsykler, deler og utstyr</t>
  </si>
  <si>
    <t>Distribusjon av film, video og fjernsynsprogrammer</t>
  </si>
  <si>
    <t>Drift av gods- og transportsentraler</t>
  </si>
  <si>
    <t>Drift av hoteller, pensjonater og moteller med restaurant</t>
  </si>
  <si>
    <t>Drift av kulturhistoriske museer</t>
  </si>
  <si>
    <t>Drift av puber</t>
  </si>
  <si>
    <t>Drift av restauranter og kafeer</t>
  </si>
  <si>
    <t>Drosjebiltransport</t>
  </si>
  <si>
    <t>Eiendomsforvaltning</t>
  </si>
  <si>
    <t>Eiendomsmegling</t>
  </si>
  <si>
    <t>Elektrisk installasjonsarbeid</t>
  </si>
  <si>
    <t>Engroshandel med byggevarer ikke nevnt annet sted</t>
  </si>
  <si>
    <t>Engroshandel med datamaskiner, tilleggsutstyr til datamaskiner samt programvare</t>
  </si>
  <si>
    <t>Engroshandel med gull- og sølvvarer</t>
  </si>
  <si>
    <t>Engroshandel med husholdningsvarer og varer til personlig bruk ikke nevnt annet sted</t>
  </si>
  <si>
    <t>Engroshandel med kjemiske produkter</t>
  </si>
  <si>
    <t>Engroshandel med klær</t>
  </si>
  <si>
    <t>Engroshandel med kontormøbler</t>
  </si>
  <si>
    <t>Engroshandel med maskiner og utstyr til industri ellers</t>
  </si>
  <si>
    <t>Engroshandel med maskiner og utstyr til kontor ellers</t>
  </si>
  <si>
    <t>Engroshandel med maskinverktøy</t>
  </si>
  <si>
    <t>Engroshandel med metaller og metallholdig malm</t>
  </si>
  <si>
    <t>Engroshandel med reiseeffekter og lærvarer</t>
  </si>
  <si>
    <t>Engroshandel med skipsutstyr og fiskeredskap</t>
  </si>
  <si>
    <t>Engroshandel med sykepleie- og apotekvarer</t>
  </si>
  <si>
    <t>Engroshandel med tobakksvarer</t>
  </si>
  <si>
    <t>Engroshandel med tømmer</t>
  </si>
  <si>
    <t>Flyttetransport</t>
  </si>
  <si>
    <t>Forsikringsformidling</t>
  </si>
  <si>
    <t>Frisering og annen skjønnhetspleie</t>
  </si>
  <si>
    <t>Fysioterapitjeneste</t>
  </si>
  <si>
    <t>Godstransport på vei</t>
  </si>
  <si>
    <t>Grafisk og visuell kommunikasjonsdesign</t>
  </si>
  <si>
    <t>Grunnarbeid</t>
  </si>
  <si>
    <t>Gulvlegging og tapetsering</t>
  </si>
  <si>
    <t>Handel med elektrisitet</t>
  </si>
  <si>
    <t>Hogging og bearbeiding av monument- og bygningsstein</t>
  </si>
  <si>
    <t>Husdyrhold ellers</t>
  </si>
  <si>
    <t>Idrettslag og -klubber</t>
  </si>
  <si>
    <t>Industridesign, produktdesign og annen teknisk designvirksomhet</t>
  </si>
  <si>
    <t>Installasjon av industrimaskiner og -utstyr</t>
  </si>
  <si>
    <t>Juridisk tjenesteyting</t>
  </si>
  <si>
    <t>Kantiner drevet som selvstendig virksomhet</t>
  </si>
  <si>
    <t>Klinisk psykologtjeneste</t>
  </si>
  <si>
    <t>Kombinerte kontortjenester</t>
  </si>
  <si>
    <t>Konsulentvirksomhet tilknyttet informasjonsteknologi</t>
  </si>
  <si>
    <t>Lagring</t>
  </si>
  <si>
    <t>Landskapsarkitekttjenester</t>
  </si>
  <si>
    <t>Legetjenester innen psykisk helsevern</t>
  </si>
  <si>
    <t>Livsforsikring</t>
  </si>
  <si>
    <t>Lufttransport med passasjerer</t>
  </si>
  <si>
    <t>Lønnet arbeid i private husholdninger</t>
  </si>
  <si>
    <t>Malerarbeid</t>
  </si>
  <si>
    <t>Medisinske laboratorietjenester</t>
  </si>
  <si>
    <t>Næringslivs- og arbeidsgiverorganisasjoner</t>
  </si>
  <si>
    <t>Omsorgsinstitusjoner ellers</t>
  </si>
  <si>
    <t>Oppføring av bygninger</t>
  </si>
  <si>
    <t>Personlig tjenesteyting ikke nevnt annet sted</t>
  </si>
  <si>
    <t>Produksjon av andre uorganiske kjemikalier</t>
  </si>
  <si>
    <t>Produksjon av bygningsartikler</t>
  </si>
  <si>
    <t>Produksjon av elektrisitet fra vannkraft</t>
  </si>
  <si>
    <t>Produksjon av film, video og fjernsynsprogrammer</t>
  </si>
  <si>
    <t>Produksjon av halvfabrikater av aluminium</t>
  </si>
  <si>
    <t>Produksjon av kjøtt- og fjørfevarer</t>
  </si>
  <si>
    <t>Produksjon av maskiner og utstyr til bergverksdrift og bygge- og anleggsvirksomhet</t>
  </si>
  <si>
    <t>Produksjon av meierivarer</t>
  </si>
  <si>
    <t>Produksjon av metallvarer ikke nevnt annet sted</t>
  </si>
  <si>
    <t>Produksjon av mineralvann, leskedrikker og annet vann på flaske</t>
  </si>
  <si>
    <t>Produksjon av saltfisk, tørrfisk og klippfisk</t>
  </si>
  <si>
    <t>Programmeringstjenester</t>
  </si>
  <si>
    <t>Regnskap og bokføring</t>
  </si>
  <si>
    <t>Reklamebyråer</t>
  </si>
  <si>
    <t>Rekruttering og formidling av arbeidskraft</t>
  </si>
  <si>
    <t>Rengjøring av bygninger</t>
  </si>
  <si>
    <t>Reparasjon av maskiner</t>
  </si>
  <si>
    <t>Revisjon</t>
  </si>
  <si>
    <t>Rørleggerarbeid</t>
  </si>
  <si>
    <t>Satellittbasert telekommunikasjon</t>
  </si>
  <si>
    <t>Skadeforsikring</t>
  </si>
  <si>
    <t>Snekkerarbeid</t>
  </si>
  <si>
    <t>Somatiske poliklinikker</t>
  </si>
  <si>
    <t>Sosiale velferdsorganisasjoner</t>
  </si>
  <si>
    <t>Spedisjon</t>
  </si>
  <si>
    <t>Spesialisert legetjeneste, unntatt psykiatrisk legetjeneste</t>
  </si>
  <si>
    <t>Takarbeid ellers</t>
  </si>
  <si>
    <t>Tannhelsetjenester</t>
  </si>
  <si>
    <t>Tjenester tilknyttet sjøtransport ellers</t>
  </si>
  <si>
    <t>Tjenester tilknyttet skogbruk</t>
  </si>
  <si>
    <t>Torghandel med næringsmidler, drikkevarer og tobakksvarer</t>
  </si>
  <si>
    <t>Trafikkskoleundervisning</t>
  </si>
  <si>
    <t>Trykking ellers</t>
  </si>
  <si>
    <t>Turistkontorvirksomhet og destinasjonsselskaper</t>
  </si>
  <si>
    <t>Uoppgitt</t>
  </si>
  <si>
    <t>Uspesifisert engroshandel</t>
  </si>
  <si>
    <t>Utgivelse av annen programvare</t>
  </si>
  <si>
    <t>Utleie av arbeidskraft</t>
  </si>
  <si>
    <t>Utleie av egen eller leid fast eiendom ellers</t>
  </si>
  <si>
    <t>Utleie og leasing av andre maskiner og annet utstyr og materiell ikke nevnt annet sted</t>
  </si>
  <si>
    <t>Utleie og leasing av bygge- og anleggsmaskiner og -utstyr</t>
  </si>
  <si>
    <t>Utvikling og salg av egen fast eiendom ellers</t>
  </si>
  <si>
    <t>Utvinning av råolje</t>
  </si>
  <si>
    <t>Vaktmestertjenester</t>
  </si>
  <si>
    <t>Vedlikehold og reparasjon av motorvogner, unntatt motorsykler</t>
  </si>
  <si>
    <t>Verdipapirmegling</t>
  </si>
  <si>
    <t>Veterinærtjenester</t>
  </si>
  <si>
    <t>Veving av tekstiler</t>
  </si>
  <si>
    <t>Yrkessammenslutninger</t>
  </si>
  <si>
    <t>TotalCallDurationInMinutes</t>
  </si>
  <si>
    <t>7-20</t>
  </si>
  <si>
    <t>21-50</t>
  </si>
  <si>
    <t>2-6</t>
  </si>
  <si>
    <t>Prop</t>
  </si>
  <si>
    <t>Total oppside</t>
  </si>
  <si>
    <t>Kilde: PBI-Dashboard for SMB kunder</t>
  </si>
  <si>
    <t>Ringeliste fra Anja, beriket med Salesforce-data fra Snowflake. Kontakt Bjørn Skauli for mer info om spørringer.</t>
  </si>
  <si>
    <t>Videreføring av sheet 3</t>
  </si>
  <si>
    <t>Data hentet fra PBI-dashboard for SMB-segmenetet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</si>
</sst>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9" fontId="0" fillId="0" borderId="2" xfId="2" applyFont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164" fontId="0" fillId="0" borderId="0" xfId="1" applyNumberFormat="1" applyFont="1" applyBorder="1"/>
    <xf numFmtId="9" fontId="0" fillId="0" borderId="0" xfId="2" applyFont="1" applyBorder="1"/>
    <xf numFmtId="164" fontId="0" fillId="0" borderId="1" xfId="1" applyNumberFormat="1" applyFont="1" applyBorder="1"/>
    <xf numFmtId="9" fontId="0" fillId="0" borderId="1" xfId="2" applyFont="1" applyBorder="1"/>
    <xf numFmtId="9" fontId="0" fillId="0" borderId="9" xfId="2" applyFont="1" applyBorder="1"/>
    <xf numFmtId="0" fontId="0" fillId="2" borderId="3" xfId="0" applyFill="1" applyBorder="1"/>
    <xf numFmtId="164" fontId="0" fillId="0" borderId="5" xfId="1" applyNumberFormat="1" applyFont="1" applyBorder="1"/>
    <xf numFmtId="9" fontId="0" fillId="0" borderId="5" xfId="2" applyFont="1" applyBorder="1"/>
    <xf numFmtId="9" fontId="0" fillId="0" borderId="6" xfId="2" applyFont="1" applyBorder="1"/>
    <xf numFmtId="0" fontId="0" fillId="2" borderId="4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49" fontId="0" fillId="4" borderId="7" xfId="0" applyNumberFormat="1" applyFill="1" applyBorder="1"/>
    <xf numFmtId="164" fontId="0" fillId="0" borderId="2" xfId="1" applyNumberFormat="1" applyFont="1" applyBorder="1"/>
    <xf numFmtId="49" fontId="0" fillId="0" borderId="0" xfId="0" applyNumberFormat="1"/>
    <xf numFmtId="9" fontId="0" fillId="0" borderId="0" xfId="0" applyNumberFormat="1"/>
    <xf numFmtId="49" fontId="0" fillId="4" borderId="10" xfId="0" applyNumberFormat="1" applyFill="1" applyBorder="1"/>
    <xf numFmtId="0" fontId="0" fillId="0" borderId="11" xfId="0" applyBorder="1"/>
    <xf numFmtId="9" fontId="0" fillId="0" borderId="11" xfId="2" applyFont="1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5" fontId="0" fillId="0" borderId="0" xfId="0" applyNumberFormat="1"/>
    <xf numFmtId="1" fontId="0" fillId="0" borderId="0" xfId="0" applyNumberFormat="1"/>
    <xf numFmtId="0" fontId="3" fillId="0" borderId="3" xfId="0" applyFont="1" applyBorder="1" applyAlignment="1">
      <alignment horizontal="center" vertical="top"/>
    </xf>
    <xf numFmtId="0" fontId="2" fillId="0" borderId="0" xfId="0" applyFont="1"/>
    <xf numFmtId="0" fontId="3" fillId="0" borderId="6" xfId="0" applyFont="1" applyBorder="1" applyAlignment="1">
      <alignment horizontal="center" vertical="top"/>
    </xf>
    <xf numFmtId="9" fontId="0" fillId="0" borderId="0" xfId="2" applyFont="1"/>
    <xf numFmtId="164" fontId="0" fillId="0" borderId="0" xfId="0" applyNumberFormat="1"/>
    <xf numFmtId="0" fontId="0" fillId="4" borderId="0" xfId="0" applyFill="1"/>
  </cellXfs>
  <cellStyles count="3">
    <cellStyle name="Komma" xfId="1" builtinId="3"/>
    <cellStyle name="Normal" xfId="0" builtinId="0"/>
    <cellStyle name="Prosent" xfId="2" builtinId="5"/>
  </cellStyles>
  <dxfs count="3">
    <dxf>
      <numFmt numFmtId="165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Kundesegmentering på størrelse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'Antall ansatte'!$C$2</c:f>
              <c:strCache>
                <c:ptCount val="1"/>
                <c:pt idx="0">
                  <c:v>Kunder (#)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'Antall ansatte'!$B$3:$B$9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2 - 10</c:v>
                </c:pt>
                <c:pt idx="3">
                  <c:v>11 - 30</c:v>
                </c:pt>
                <c:pt idx="4">
                  <c:v>31 - 50</c:v>
                </c:pt>
                <c:pt idx="5">
                  <c:v>51 - 100</c:v>
                </c:pt>
                <c:pt idx="6">
                  <c:v>101+</c:v>
                </c:pt>
              </c:strCache>
            </c:strRef>
          </c:cat>
          <c:val>
            <c:numRef>
              <c:f>'Antall ansatte'!$C$3:$C$9</c:f>
              <c:numCache>
                <c:formatCode>General</c:formatCode>
                <c:ptCount val="7"/>
                <c:pt idx="0">
                  <c:v>4739</c:v>
                </c:pt>
                <c:pt idx="1">
                  <c:v>4460</c:v>
                </c:pt>
                <c:pt idx="2">
                  <c:v>14527</c:v>
                </c:pt>
                <c:pt idx="3">
                  <c:v>6466</c:v>
                </c:pt>
                <c:pt idx="4">
                  <c:v>1612</c:v>
                </c:pt>
                <c:pt idx="5">
                  <c:v>916</c:v>
                </c:pt>
                <c:pt idx="6">
                  <c:v>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2-4B81-9C6C-A1A051440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500832"/>
        <c:axId val="398501792"/>
      </c:barChart>
      <c:catAx>
        <c:axId val="39850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Ansattintervall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01792"/>
        <c:crosses val="autoZero"/>
        <c:auto val="1"/>
        <c:lblAlgn val="ctr"/>
        <c:lblOffset val="100"/>
        <c:noMultiLvlLbl val="0"/>
      </c:catAx>
      <c:valAx>
        <c:axId val="39850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Antall organisasjoner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0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Lønnsomhet per ansattsegment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'Antall ansatte'!$H$2</c:f>
              <c:strCache>
                <c:ptCount val="1"/>
                <c:pt idx="0">
                  <c:v>Normalisert forvaltning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'Antall ansatte'!$B$3:$B$9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2 - 10</c:v>
                </c:pt>
                <c:pt idx="3">
                  <c:v>11 - 30</c:v>
                </c:pt>
                <c:pt idx="4">
                  <c:v>31 - 50</c:v>
                </c:pt>
                <c:pt idx="5">
                  <c:v>51 - 100</c:v>
                </c:pt>
                <c:pt idx="6">
                  <c:v>101+</c:v>
                </c:pt>
              </c:strCache>
            </c:strRef>
          </c:cat>
          <c:val>
            <c:numRef>
              <c:f>'Antall ansatte'!$H$3:$H$9</c:f>
              <c:numCache>
                <c:formatCode>_-* #\ ##0_-;\-* #\ ##0_-;_-* "-"??_-;_-@_-</c:formatCode>
                <c:ptCount val="7"/>
                <c:pt idx="1">
                  <c:v>279941</c:v>
                </c:pt>
                <c:pt idx="2">
                  <c:v>135611.1305873181</c:v>
                </c:pt>
                <c:pt idx="3">
                  <c:v>150078.33606613727</c:v>
                </c:pt>
                <c:pt idx="4">
                  <c:v>176577.61723504978</c:v>
                </c:pt>
                <c:pt idx="5">
                  <c:v>147932.09431345353</c:v>
                </c:pt>
                <c:pt idx="6">
                  <c:v>91898.879626158378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C-4740-A67A-D6BB5CF5614F}"/>
            </c:ext>
          </c:extLst>
        </c:ser>
        <c:ser>
          <c:idx val="1"/>
          <c:order val="1"/>
          <c:tx>
            <c:strRef>
              <c:f>'Antall ansatte'!$J$2</c:f>
              <c:strCache>
                <c:ptCount val="1"/>
                <c:pt idx="0">
                  <c:v>Normalisert premie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'Antall ansatte'!$B$3:$B$9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2 - 10</c:v>
                </c:pt>
                <c:pt idx="3">
                  <c:v>11 - 30</c:v>
                </c:pt>
                <c:pt idx="4">
                  <c:v>31 - 50</c:v>
                </c:pt>
                <c:pt idx="5">
                  <c:v>51 - 100</c:v>
                </c:pt>
                <c:pt idx="6">
                  <c:v>101+</c:v>
                </c:pt>
              </c:strCache>
            </c:strRef>
          </c:cat>
          <c:val>
            <c:numRef>
              <c:f>'Antall ansatte'!$J$3:$J$9</c:f>
              <c:numCache>
                <c:formatCode>_-* #\ ##0_-;\-* #\ ##0_-;_-* "-"??_-;_-@_-</c:formatCode>
                <c:ptCount val="7"/>
                <c:pt idx="1">
                  <c:v>90128</c:v>
                </c:pt>
                <c:pt idx="2">
                  <c:v>42841.898186648184</c:v>
                </c:pt>
                <c:pt idx="3">
                  <c:v>43614.104637173004</c:v>
                </c:pt>
                <c:pt idx="4">
                  <c:v>54693.639519531127</c:v>
                </c:pt>
                <c:pt idx="5">
                  <c:v>58252.573660465197</c:v>
                </c:pt>
                <c:pt idx="6">
                  <c:v>48954.988959837559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C-4740-A67A-D6BB5CF56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414591"/>
        <c:axId val="42415071"/>
      </c:barChart>
      <c:catAx>
        <c:axId val="4241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5071"/>
        <c:crosses val="autoZero"/>
        <c:auto val="1"/>
        <c:lblAlgn val="ctr"/>
        <c:lblOffset val="100"/>
        <c:noMultiLvlLbl val="0"/>
      </c:catAx>
      <c:valAx>
        <c:axId val="4241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'Antall ansatte'!$C$2</c:f>
              <c:strCache>
                <c:ptCount val="1"/>
                <c:pt idx="0">
                  <c:v>Kunder (#)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67-4479-BD02-52E3FA46A5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67-4479-BD02-52E3FA46A5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67-4479-BD02-52E3FA46A5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67-4479-BD02-52E3FA46A5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67-4479-BD02-52E3FA46A5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F67-4479-BD02-52E3FA46A5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F67-4479-BD02-52E3FA46A573}"/>
              </c:ext>
            </c:extLst>
          </c:dPt>
          <c:cat>
            <c:strRef>
              <c:f>'Antall ansatte'!$B$3:$B$9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2 - 10</c:v>
                </c:pt>
                <c:pt idx="3">
                  <c:v>11 - 30</c:v>
                </c:pt>
                <c:pt idx="4">
                  <c:v>31 - 50</c:v>
                </c:pt>
                <c:pt idx="5">
                  <c:v>51 - 100</c:v>
                </c:pt>
                <c:pt idx="6">
                  <c:v>101+</c:v>
                </c:pt>
              </c:strCache>
            </c:strRef>
          </c:cat>
          <c:val>
            <c:numRef>
              <c:f>'Antall ansatte'!$C$3:$C$9</c:f>
              <c:numCache>
                <c:formatCode>General</c:formatCode>
                <c:ptCount val="7"/>
                <c:pt idx="0">
                  <c:v>4739</c:v>
                </c:pt>
                <c:pt idx="1">
                  <c:v>4460</c:v>
                </c:pt>
                <c:pt idx="2">
                  <c:v>14527</c:v>
                </c:pt>
                <c:pt idx="3">
                  <c:v>6466</c:v>
                </c:pt>
                <c:pt idx="4">
                  <c:v>1612</c:v>
                </c:pt>
                <c:pt idx="5">
                  <c:v>916</c:v>
                </c:pt>
                <c:pt idx="6">
                  <c:v>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5-427A-88E9-96C206CFF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Lønnsomhet</a:t>
            </a:r>
            <a:r>
              <a:rPr lang="en-US" baseline="0"/>
              <a:t> etter kundesegment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'Antall ansatte'!$G$2</c:f>
              <c:strCache>
                <c:ptCount val="1"/>
                <c:pt idx="0">
                  <c:v>Forvaltningsinntekter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'Antall ansatte'!$B$3:$B$8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2 - 10</c:v>
                </c:pt>
                <c:pt idx="3">
                  <c:v>11 - 30</c:v>
                </c:pt>
                <c:pt idx="4">
                  <c:v>31 - 50</c:v>
                </c:pt>
                <c:pt idx="5">
                  <c:v>51 - 100</c:v>
                </c:pt>
              </c:strCache>
            </c:strRef>
          </c:cat>
          <c:val>
            <c:numRef>
              <c:f>'Antall ansatte'!$G$3:$G$8</c:f>
              <c:numCache>
                <c:formatCode>_-* #\ ##0_-;\-* #\ ##0_-;_-* "-"??_-;_-@_-</c:formatCode>
                <c:ptCount val="6"/>
                <c:pt idx="0">
                  <c:v>396499</c:v>
                </c:pt>
                <c:pt idx="1">
                  <c:v>279941</c:v>
                </c:pt>
                <c:pt idx="2">
                  <c:v>646587</c:v>
                </c:pt>
                <c:pt idx="3">
                  <c:v>2700853</c:v>
                </c:pt>
                <c:pt idx="4">
                  <c:v>6803058</c:v>
                </c:pt>
                <c:pt idx="5">
                  <c:v>10130280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5-4056-B0D7-1C4EF25520C5}"/>
            </c:ext>
          </c:extLst>
        </c:ser>
        <c:ser>
          <c:idx val="1"/>
          <c:order val="1"/>
          <c:tx>
            <c:strRef>
              <c:f>'Antall ansatte'!$I$2</c:f>
              <c:strCache>
                <c:ptCount val="1"/>
                <c:pt idx="0">
                  <c:v>Gjennomsnittlig premie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'Antall ansatte'!$B$3:$B$8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2 - 10</c:v>
                </c:pt>
                <c:pt idx="3">
                  <c:v>11 - 30</c:v>
                </c:pt>
                <c:pt idx="4">
                  <c:v>31 - 50</c:v>
                </c:pt>
                <c:pt idx="5">
                  <c:v>51 - 100</c:v>
                </c:pt>
              </c:strCache>
            </c:strRef>
          </c:cat>
          <c:val>
            <c:numRef>
              <c:f>'Antall ansatte'!$I$3:$I$8</c:f>
              <c:numCache>
                <c:formatCode>_-* #\ ##0_-;\-* #\ ##0_-;_-* "-"??_-;_-@_-</c:formatCode>
                <c:ptCount val="6"/>
                <c:pt idx="0">
                  <c:v>126924</c:v>
                </c:pt>
                <c:pt idx="1">
                  <c:v>90128</c:v>
                </c:pt>
                <c:pt idx="2">
                  <c:v>204268</c:v>
                </c:pt>
                <c:pt idx="3">
                  <c:v>784892</c:v>
                </c:pt>
                <c:pt idx="4">
                  <c:v>2107198</c:v>
                </c:pt>
                <c:pt idx="5">
                  <c:v>3989093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25-4056-B0D7-1C4EF255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365551"/>
        <c:axId val="1420373711"/>
      </c:areaChart>
      <c:catAx>
        <c:axId val="1420365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73711"/>
        <c:crosses val="autoZero"/>
        <c:auto val="1"/>
        <c:lblAlgn val="ctr"/>
        <c:lblOffset val="100"/>
        <c:noMultiLvlLbl val="0"/>
      </c:catAx>
      <c:valAx>
        <c:axId val="142037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65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'Antall ansatte'!$D$2</c:f>
              <c:strCache>
                <c:ptCount val="1"/>
                <c:pt idx="0">
                  <c:v>Kunder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85-4199-8EA6-7B2D62807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85-4199-8EA6-7B2D62807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85-4199-8EA6-7B2D62807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85-4199-8EA6-7B2D62807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85-4199-8EA6-7B2D62807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85-4199-8EA6-7B2D62807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85-4199-8EA6-7B2D6280711C}"/>
              </c:ext>
            </c:extLst>
          </c:dPt>
          <c:cat>
            <c:strRef>
              <c:f>'Antall ansatte'!$B$3:$B$9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2 - 10</c:v>
                </c:pt>
                <c:pt idx="3">
                  <c:v>11 - 30</c:v>
                </c:pt>
                <c:pt idx="4">
                  <c:v>31 - 50</c:v>
                </c:pt>
                <c:pt idx="5">
                  <c:v>51 - 100</c:v>
                </c:pt>
                <c:pt idx="6">
                  <c:v>101+</c:v>
                </c:pt>
              </c:strCache>
            </c:strRef>
          </c:cat>
          <c:val>
            <c:numRef>
              <c:f>'Antall ansatte'!$D$3:$D$9</c:f>
              <c:numCache>
                <c:formatCode>0%</c:formatCode>
                <c:ptCount val="7"/>
                <c:pt idx="0">
                  <c:v>0.14077770846329798</c:v>
                </c:pt>
                <c:pt idx="1">
                  <c:v>0.13248967709354484</c:v>
                </c:pt>
                <c:pt idx="2">
                  <c:v>0.43154204913406413</c:v>
                </c:pt>
                <c:pt idx="3">
                  <c:v>0.19208032558001367</c:v>
                </c:pt>
                <c:pt idx="4">
                  <c:v>4.788640346968482E-2</c:v>
                </c:pt>
                <c:pt idx="5">
                  <c:v>2.7210884353741496E-2</c:v>
                </c:pt>
                <c:pt idx="6">
                  <c:v>2.8012951905653092E-2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D-4C28-9E92-3E18EC790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'Call duration by segment'!$C$12</c:f>
              <c:strCache>
                <c:ptCount val="1"/>
                <c:pt idx="0">
                  <c:v>Minutter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'Call duration by segment'!$B$13:$B$19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2-10</c:v>
                </c:pt>
                <c:pt idx="3">
                  <c:v>11-30</c:v>
                </c:pt>
                <c:pt idx="4">
                  <c:v>31-50</c:v>
                </c:pt>
                <c:pt idx="5">
                  <c:v>51-100</c:v>
                </c:pt>
                <c:pt idx="6">
                  <c:v>100+</c:v>
                </c:pt>
              </c:strCache>
            </c:strRef>
          </c:cat>
          <c:val>
            <c:numRef>
              <c:f>'Call duration by segment'!$C$13:$C$19</c:f>
              <c:numCache>
                <c:formatCode>0</c:formatCode>
                <c:ptCount val="7"/>
                <c:pt idx="0">
                  <c:v>479.43333333333334</c:v>
                </c:pt>
                <c:pt idx="1">
                  <c:v>224.78333333333333</c:v>
                </c:pt>
                <c:pt idx="2">
                  <c:v>776.93333333333328</c:v>
                </c:pt>
                <c:pt idx="3">
                  <c:v>392.85</c:v>
                </c:pt>
                <c:pt idx="4">
                  <c:v>78.683333333333337</c:v>
                </c:pt>
                <c:pt idx="5">
                  <c:v>115.08333333333333</c:v>
                </c:pt>
                <c:pt idx="6">
                  <c:v>77.216666666666669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1-4C0D-A122-69343B2B1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084000"/>
        <c:axId val="835086400"/>
      </c:barChart>
      <c:catAx>
        <c:axId val="83508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086400"/>
        <c:crosses val="autoZero"/>
        <c:auto val="1"/>
        <c:lblAlgn val="ctr"/>
        <c:lblOffset val="100"/>
        <c:noMultiLvlLbl val="0"/>
      </c:catAx>
      <c:valAx>
        <c:axId val="8350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08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Kumulati</a:t>
            </a:r>
            <a:r>
              <a:rPr lang="en-US" baseline="0"/>
              <a:t>v tidsbruk mai/juni kundefront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'Call duration by industry'!$C$2</c:f>
              <c:strCache>
                <c:ptCount val="1"/>
                <c:pt idx="0">
                  <c:v>TotalCallDurationInMinutes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'Call duration by industry'!$B$3:$B$12</c:f>
              <c:strCache>
                <c:ptCount val="10"/>
                <c:pt idx="0">
                  <c:v>Drosjebiltransport</c:v>
                </c:pt>
                <c:pt idx="1">
                  <c:v>Allmenn legetjeneste</c:v>
                </c:pt>
                <c:pt idx="2">
                  <c:v>Uoppgitt</c:v>
                </c:pt>
                <c:pt idx="3">
                  <c:v>Oppføring av bygninger</c:v>
                </c:pt>
                <c:pt idx="4">
                  <c:v>Utleie av arbeidskraft</c:v>
                </c:pt>
                <c:pt idx="5">
                  <c:v>Spesialisert legetjeneste, unntatt psykiatrisk legetjeneste</c:v>
                </c:pt>
                <c:pt idx="6">
                  <c:v>Programmeringstjenester</c:v>
                </c:pt>
                <c:pt idx="7">
                  <c:v>Grunnarbeid</c:v>
                </c:pt>
                <c:pt idx="8">
                  <c:v>Bedriftsrådgivning og annen administrativ rådgivning</c:v>
                </c:pt>
                <c:pt idx="9">
                  <c:v>Drift av restauranter og kafeer</c:v>
                </c:pt>
              </c:strCache>
            </c:strRef>
          </c:cat>
          <c:val>
            <c:numRef>
              <c:f>'Call duration by industry'!$C$3:$C$12</c:f>
              <c:numCache>
                <c:formatCode>0.0</c:formatCode>
                <c:ptCount val="10"/>
                <c:pt idx="0">
                  <c:v>227.43333333333334</c:v>
                </c:pt>
                <c:pt idx="1">
                  <c:v>144.58333333333334</c:v>
                </c:pt>
                <c:pt idx="2">
                  <c:v>103.53333333333333</c:v>
                </c:pt>
                <c:pt idx="3">
                  <c:v>76.45</c:v>
                </c:pt>
                <c:pt idx="4">
                  <c:v>70.849999999999994</c:v>
                </c:pt>
                <c:pt idx="5">
                  <c:v>70.650000000000006</c:v>
                </c:pt>
                <c:pt idx="6">
                  <c:v>64.75</c:v>
                </c:pt>
                <c:pt idx="7">
                  <c:v>62.56666666666667</c:v>
                </c:pt>
                <c:pt idx="8">
                  <c:v>57.65</c:v>
                </c:pt>
                <c:pt idx="9">
                  <c:v>50.216666666666669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0-42FC-8399-3C58FB59E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2740768"/>
        <c:axId val="2082742208"/>
      </c:barChart>
      <c:catAx>
        <c:axId val="208274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742208"/>
        <c:crosses val="autoZero"/>
        <c:auto val="1"/>
        <c:lblAlgn val="ctr"/>
        <c:lblOffset val="100"/>
        <c:noMultiLvlLbl val="0"/>
      </c:catAx>
      <c:valAx>
        <c:axId val="208274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74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27</xdr:row>
      <xdr:rowOff>82550</xdr:rowOff>
    </xdr:from>
    <xdr:to>
      <xdr:col>7</xdr:col>
      <xdr:colOff>6350</xdr:colOff>
      <xdr:row>40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407F5-2EFD-8D4B-D2D8-FEA33FAFF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187325</xdr:colOff>
      <xdr:row>27</xdr:row>
      <xdr:rowOff>6350</xdr:rowOff>
    </xdr:from>
    <xdr:to>
      <xdr:col>11</xdr:col>
      <xdr:colOff>282575</xdr:colOff>
      <xdr:row>40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A172CC-934B-6910-9CE8-A1E7FA8DC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1017360</xdr:colOff>
      <xdr:row>11</xdr:row>
      <xdr:rowOff>61686</xdr:rowOff>
    </xdr:from>
    <xdr:to>
      <xdr:col>10</xdr:col>
      <xdr:colOff>404132</xdr:colOff>
      <xdr:row>26</xdr:row>
      <xdr:rowOff>89353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8F0FA2-5852-EE28-2C94-781E7E9AD552}"/>
            </a:ext>
            <a:ext uri="{147F2762-F138-4A5C-976F-8EAC2B608ADB}">
              <a16:predDERef xmlns:a16="http://schemas.microsoft.com/office/drawing/2014/main" pred="{B8A172CC-934B-6910-9CE8-A1E7FA8DC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504825</xdr:colOff>
      <xdr:row>11</xdr:row>
      <xdr:rowOff>171450</xdr:rowOff>
    </xdr:from>
    <xdr:to>
      <xdr:col>6</xdr:col>
      <xdr:colOff>815975</xdr:colOff>
      <xdr:row>26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7CECD3-4DF7-5370-E14A-02A3813A1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558800</xdr:colOff>
      <xdr:row>11</xdr:row>
      <xdr:rowOff>85725</xdr:rowOff>
    </xdr:from>
    <xdr:to>
      <xdr:col>17</xdr:col>
      <xdr:colOff>581025</xdr:colOff>
      <xdr:row>26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F1AE50-02B9-9F12-54CA-7A5FEC930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</xdr:colOff>
      <xdr:row>9</xdr:row>
      <xdr:rowOff>173354</xdr:rowOff>
    </xdr:from>
    <xdr:to>
      <xdr:col>17</xdr:col>
      <xdr:colOff>586740</xdr:colOff>
      <xdr:row>30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94124E-22C4-5816-DB53-1830B6EF8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250824</xdr:colOff>
      <xdr:row>3</xdr:row>
      <xdr:rowOff>82550</xdr:rowOff>
    </xdr:from>
    <xdr:to>
      <xdr:col>15</xdr:col>
      <xdr:colOff>76199</xdr:colOff>
      <xdr:row>24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514F27-5320-9A4A-AD57-7235E8BC6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52ABE-8AAE-4B39-8661-F7D7D26ED26F}" name="Table1" displayName="Table1" ref="B2:D156" totalsRowShown="0" tableBorderDxfId="2">
  <autoFilter ref="B2:D156" xr:uid="{61752ABE-8AAE-4B39-8661-F7D7D26ED26F}"/>
  <sortState xmlns:xlrd2="http://schemas.microsoft.com/office/spreadsheetml/2017/richdata2" ref="B3:D156">
    <sortCondition descending="1" ref="C2:C156"/>
  </sortState>
  <tableColumns count="3">
    <tableColumn id="1" xr3:uid="{E1C7A83D-DA4B-4FF5-8D19-E009BB12E65C}" name="NACE_Industry_Name__c" dataDxfId="1"/>
    <tableColumn id="2" xr3:uid="{33BBD32C-4151-47D0-8B80-B02FDABAA978}" name="TotalCallDurationInMinutes" dataDxfId="0">
      <calculatedColumnFormula>D3/60</calculatedColumnFormula>
    </tableColumn>
    <tableColumn id="3" xr3:uid="{4AEE762F-A049-4919-AEE6-264B95692C02}" name="CallDurationInSecon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zoomScaleNormal="100" workbookViewId="0">
      <selection activeCell="A2" sqref="A2"/>
    </sheetView>
  </sheetViews>
  <sheetFormatPr baseColWidth="10" defaultColWidth="8.88671875" defaultRowHeight="14.4" x14ac:dyDescent="0.3"/>
  <cols>
    <col min="1" max="1" width="8.77734375" customWidth="1"/>
    <col min="2" max="2" width="13.21875" customWidth="1"/>
    <col min="3" max="3" width="9.44140625" customWidth="1"/>
    <col min="4" max="4" width="9.5546875" customWidth="1"/>
    <col min="5" max="5" width="9.77734375" customWidth="1"/>
    <col min="6" max="6" width="10.21875" customWidth="1"/>
    <col min="7" max="7" width="17.77734375" customWidth="1"/>
    <col min="8" max="8" width="19.21875" customWidth="1"/>
    <col min="9" max="9" width="19.44140625" customWidth="1"/>
    <col min="10" max="10" width="17.5546875" customWidth="1"/>
    <col min="11" max="11" width="13.21875" customWidth="1"/>
  </cols>
  <sheetData>
    <row r="1" spans="1:11" x14ac:dyDescent="0.3">
      <c r="A1" t="s">
        <v>220</v>
      </c>
    </row>
    <row r="2" spans="1:11" x14ac:dyDescent="0.3">
      <c r="B2" s="20" t="s">
        <v>8</v>
      </c>
      <c r="C2" s="21" t="s">
        <v>7</v>
      </c>
      <c r="D2" s="21" t="s">
        <v>6</v>
      </c>
      <c r="E2" s="21" t="s">
        <v>17</v>
      </c>
      <c r="F2" s="21" t="s">
        <v>18</v>
      </c>
      <c r="G2" s="21" t="s">
        <v>44</v>
      </c>
      <c r="H2" s="21" t="s">
        <v>46</v>
      </c>
      <c r="I2" s="21" t="s">
        <v>45</v>
      </c>
      <c r="J2" s="22" t="s">
        <v>47</v>
      </c>
      <c r="K2" s="39" t="s">
        <v>219</v>
      </c>
    </row>
    <row r="3" spans="1:11" x14ac:dyDescent="0.3">
      <c r="B3" s="23">
        <v>0</v>
      </c>
      <c r="C3">
        <v>4739</v>
      </c>
      <c r="D3" s="6">
        <f>C3/C10</f>
        <v>0.14077770846329798</v>
      </c>
      <c r="E3">
        <v>0</v>
      </c>
      <c r="F3" s="6">
        <f>E3/E10</f>
        <v>0</v>
      </c>
      <c r="G3" s="5">
        <v>396499</v>
      </c>
      <c r="H3" s="5"/>
      <c r="I3" s="5">
        <v>126924</v>
      </c>
      <c r="J3" s="24"/>
      <c r="K3" s="38">
        <f>G3+I3</f>
        <v>523423</v>
      </c>
    </row>
    <row r="4" spans="1:11" x14ac:dyDescent="0.3">
      <c r="B4" s="23">
        <v>1</v>
      </c>
      <c r="C4">
        <v>4460</v>
      </c>
      <c r="D4" s="6">
        <f>C4/C10</f>
        <v>0.13248967709354484</v>
      </c>
      <c r="E4">
        <v>4460</v>
      </c>
      <c r="F4" s="6">
        <f>E4/E10</f>
        <v>5.5171253550257799E-3</v>
      </c>
      <c r="G4" s="5">
        <v>279941</v>
      </c>
      <c r="H4" s="5">
        <f>G4/(E4/C4)</f>
        <v>279941</v>
      </c>
      <c r="I4" s="5">
        <v>90128</v>
      </c>
      <c r="J4" s="24">
        <f>I4/(E4/C4)</f>
        <v>90128</v>
      </c>
      <c r="K4" s="38">
        <f t="shared" ref="K4:K10" si="0">G4+I4</f>
        <v>370069</v>
      </c>
    </row>
    <row r="5" spans="1:11" x14ac:dyDescent="0.3">
      <c r="B5" s="23" t="s">
        <v>5</v>
      </c>
      <c r="C5">
        <v>14527</v>
      </c>
      <c r="D5" s="6">
        <f>C5/C10</f>
        <v>0.43154204913406413</v>
      </c>
      <c r="E5">
        <v>69264</v>
      </c>
      <c r="F5" s="6">
        <f>E5/E10</f>
        <v>8.5681204168274794E-2</v>
      </c>
      <c r="G5" s="5">
        <v>646587</v>
      </c>
      <c r="H5" s="5">
        <f t="shared" ref="H5:H9" si="1">G5/(E5/C5)</f>
        <v>135611.1305873181</v>
      </c>
      <c r="I5" s="5">
        <v>204268</v>
      </c>
      <c r="J5" s="24">
        <f t="shared" ref="J5:J9" si="2">I5/(E5/C5)</f>
        <v>42841.898186648184</v>
      </c>
      <c r="K5" s="38">
        <f t="shared" si="0"/>
        <v>850855</v>
      </c>
    </row>
    <row r="6" spans="1:11" x14ac:dyDescent="0.3">
      <c r="B6" s="23" t="s">
        <v>4</v>
      </c>
      <c r="C6">
        <v>6466</v>
      </c>
      <c r="D6" s="6">
        <f>C6/C10</f>
        <v>0.19208032558001367</v>
      </c>
      <c r="E6">
        <v>116364</v>
      </c>
      <c r="F6" s="6">
        <f>E6/E10</f>
        <v>0.14394501677404031</v>
      </c>
      <c r="G6" s="5">
        <v>2700853</v>
      </c>
      <c r="H6" s="5">
        <f t="shared" si="1"/>
        <v>150078.33606613727</v>
      </c>
      <c r="I6" s="5">
        <v>784892</v>
      </c>
      <c r="J6" s="24">
        <f t="shared" si="2"/>
        <v>43614.104637173004</v>
      </c>
      <c r="K6" s="38">
        <f t="shared" si="0"/>
        <v>3485745</v>
      </c>
    </row>
    <row r="7" spans="1:11" x14ac:dyDescent="0.3">
      <c r="B7" s="23" t="s">
        <v>3</v>
      </c>
      <c r="C7">
        <v>1612</v>
      </c>
      <c r="D7" s="6">
        <f>C7/C10</f>
        <v>4.788640346968482E-2</v>
      </c>
      <c r="E7">
        <v>62106</v>
      </c>
      <c r="F7" s="6">
        <f>E7/E10</f>
        <v>7.6826589080545085E-2</v>
      </c>
      <c r="G7" s="5">
        <v>6803058</v>
      </c>
      <c r="H7" s="5">
        <f t="shared" si="1"/>
        <v>176577.61723504978</v>
      </c>
      <c r="I7" s="5">
        <v>2107198</v>
      </c>
      <c r="J7" s="24">
        <f t="shared" si="2"/>
        <v>54693.639519531127</v>
      </c>
      <c r="K7" s="38">
        <f t="shared" si="0"/>
        <v>8910256</v>
      </c>
    </row>
    <row r="8" spans="1:11" x14ac:dyDescent="0.3">
      <c r="B8" s="23" t="s">
        <v>2</v>
      </c>
      <c r="C8">
        <v>916</v>
      </c>
      <c r="D8" s="6">
        <f>C8/C10</f>
        <v>2.7210884353741496E-2</v>
      </c>
      <c r="E8">
        <v>62727</v>
      </c>
      <c r="F8" s="6">
        <f>E8/E10</f>
        <v>7.7594780749933201E-2</v>
      </c>
      <c r="G8" s="5">
        <v>10130280</v>
      </c>
      <c r="H8" s="5">
        <f t="shared" si="1"/>
        <v>147932.09431345353</v>
      </c>
      <c r="I8" s="5">
        <v>3989093</v>
      </c>
      <c r="J8" s="24">
        <f t="shared" si="2"/>
        <v>58252.573660465197</v>
      </c>
      <c r="K8" s="38">
        <f t="shared" si="0"/>
        <v>14119373</v>
      </c>
    </row>
    <row r="9" spans="1:11" ht="15" thickBot="1" x14ac:dyDescent="0.35">
      <c r="B9" s="23" t="s">
        <v>48</v>
      </c>
      <c r="C9">
        <v>943</v>
      </c>
      <c r="D9" s="6">
        <f>C9/C10</f>
        <v>2.8012951905653092E-2</v>
      </c>
      <c r="E9">
        <v>493471</v>
      </c>
      <c r="F9" s="6">
        <f>E9/E10</f>
        <v>0.61043528387218082</v>
      </c>
      <c r="G9" s="5">
        <v>48090596</v>
      </c>
      <c r="H9" s="5">
        <f t="shared" si="1"/>
        <v>91898.879626158378</v>
      </c>
      <c r="I9" s="5">
        <v>25618099</v>
      </c>
      <c r="J9" s="24">
        <f t="shared" si="2"/>
        <v>48954.988959837559</v>
      </c>
      <c r="K9" s="38">
        <f t="shared" si="0"/>
        <v>73708695</v>
      </c>
    </row>
    <row r="10" spans="1:11" ht="15" thickBot="1" x14ac:dyDescent="0.35">
      <c r="B10" s="27" t="s">
        <v>1</v>
      </c>
      <c r="C10" s="28">
        <f>SUM(C3:C9)</f>
        <v>33663</v>
      </c>
      <c r="D10" s="29">
        <f>SUM(D3:D9)</f>
        <v>1</v>
      </c>
      <c r="E10" s="28">
        <f>SUM(E3:E9)</f>
        <v>808392</v>
      </c>
      <c r="F10" s="29">
        <f>E10/E10</f>
        <v>1</v>
      </c>
      <c r="G10" s="30">
        <f>AVERAGE(G3:G9)</f>
        <v>9863973.4285714291</v>
      </c>
      <c r="H10" s="30">
        <f>AVERAGE(H3:H9)</f>
        <v>163673.17630468617</v>
      </c>
      <c r="I10" s="30">
        <f t="shared" ref="I10:J10" si="3">AVERAGE(I3:I9)</f>
        <v>4702943.1428571427</v>
      </c>
      <c r="J10" s="31">
        <f t="shared" si="3"/>
        <v>56414.200827275847</v>
      </c>
      <c r="K10" s="38">
        <f t="shared" si="0"/>
        <v>14566916.571428571</v>
      </c>
    </row>
    <row r="11" spans="1:11" x14ac:dyDescent="0.3">
      <c r="B11" s="25"/>
      <c r="D11" s="26"/>
      <c r="G11" s="5"/>
      <c r="H11" s="5"/>
      <c r="I11" s="5"/>
      <c r="J11" s="5"/>
    </row>
    <row r="14" spans="1:11" x14ac:dyDescent="0.3">
      <c r="B14" s="25"/>
    </row>
    <row r="15" spans="1:11" x14ac:dyDescent="0.3">
      <c r="B15" s="25"/>
    </row>
    <row r="16" spans="1:11" x14ac:dyDescent="0.3">
      <c r="B16" s="25"/>
    </row>
    <row r="17" spans="2:2" x14ac:dyDescent="0.3">
      <c r="B17" s="25"/>
    </row>
    <row r="18" spans="2:2" x14ac:dyDescent="0.3">
      <c r="B18" s="25"/>
    </row>
    <row r="19" spans="2:2" x14ac:dyDescent="0.3">
      <c r="B19" s="25"/>
    </row>
    <row r="20" spans="2:2" x14ac:dyDescent="0.3">
      <c r="B20" s="25"/>
    </row>
    <row r="21" spans="2:2" x14ac:dyDescent="0.3">
      <c r="B21" s="25"/>
    </row>
    <row r="22" spans="2:2" x14ac:dyDescent="0.3">
      <c r="B22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130E-A030-4E33-B48C-3E232CF8F2C0}">
  <dimension ref="A1:J19"/>
  <sheetViews>
    <sheetView workbookViewId="0">
      <selection activeCell="S26" sqref="S26"/>
    </sheetView>
  </sheetViews>
  <sheetFormatPr baseColWidth="10" defaultColWidth="8.88671875" defaultRowHeight="14.4" x14ac:dyDescent="0.3"/>
  <cols>
    <col min="2" max="2" width="13.77734375" customWidth="1"/>
    <col min="3" max="3" width="8.77734375" customWidth="1"/>
    <col min="4" max="4" width="7.5546875" customWidth="1"/>
    <col min="5" max="5" width="6.21875" customWidth="1"/>
    <col min="6" max="6" width="9" customWidth="1"/>
    <col min="8" max="8" width="13.5546875" customWidth="1"/>
    <col min="10" max="10" width="12" bestFit="1" customWidth="1"/>
  </cols>
  <sheetData>
    <row r="1" spans="1:10" x14ac:dyDescent="0.3">
      <c r="A1" t="s">
        <v>221</v>
      </c>
    </row>
    <row r="2" spans="1:10" x14ac:dyDescent="0.3">
      <c r="B2" t="s">
        <v>57</v>
      </c>
      <c r="C2" t="s">
        <v>56</v>
      </c>
      <c r="D2" t="s">
        <v>55</v>
      </c>
      <c r="E2" t="s">
        <v>58</v>
      </c>
      <c r="F2" t="s">
        <v>218</v>
      </c>
      <c r="H2" t="s">
        <v>57</v>
      </c>
      <c r="I2" t="s">
        <v>56</v>
      </c>
      <c r="J2" t="s">
        <v>55</v>
      </c>
    </row>
    <row r="3" spans="1:10" x14ac:dyDescent="0.3">
      <c r="B3" s="25">
        <v>0</v>
      </c>
      <c r="C3">
        <v>28766</v>
      </c>
      <c r="D3" s="33">
        <f>C3/60</f>
        <v>479.43333333333334</v>
      </c>
      <c r="E3" s="32">
        <f>D3/60</f>
        <v>7.9905555555555559</v>
      </c>
      <c r="F3" s="37">
        <f>C3/C10</f>
        <v>0.2235137802158525</v>
      </c>
      <c r="H3" s="25">
        <v>1</v>
      </c>
      <c r="I3">
        <v>13487</v>
      </c>
      <c r="J3" s="33">
        <f t="shared" ref="J3:J8" si="0">I3/60</f>
        <v>224.78333333333333</v>
      </c>
    </row>
    <row r="4" spans="1:10" x14ac:dyDescent="0.3">
      <c r="B4" s="25">
        <v>1</v>
      </c>
      <c r="C4">
        <v>13487</v>
      </c>
      <c r="D4" s="33">
        <f>C4/60</f>
        <v>224.78333333333333</v>
      </c>
      <c r="E4" s="32">
        <f t="shared" ref="E4:E9" si="1">D4/60</f>
        <v>3.7463888888888888</v>
      </c>
      <c r="F4" s="37">
        <f>C4/C10</f>
        <v>0.10479490905135239</v>
      </c>
      <c r="H4" s="25" t="s">
        <v>217</v>
      </c>
      <c r="I4">
        <v>30783</v>
      </c>
      <c r="J4" s="33">
        <f t="shared" si="0"/>
        <v>513.04999999999995</v>
      </c>
    </row>
    <row r="5" spans="1:10" x14ac:dyDescent="0.3">
      <c r="B5" s="25" t="s">
        <v>53</v>
      </c>
      <c r="C5">
        <v>46616</v>
      </c>
      <c r="D5" s="33">
        <f t="shared" ref="D5:D9" si="2">C5/60</f>
        <v>776.93333333333328</v>
      </c>
      <c r="E5" s="32">
        <f t="shared" si="1"/>
        <v>12.948888888888888</v>
      </c>
      <c r="F5" s="37">
        <f>C5/C10</f>
        <v>0.36220949657728496</v>
      </c>
      <c r="H5" s="25" t="s">
        <v>215</v>
      </c>
      <c r="I5">
        <v>31290</v>
      </c>
      <c r="J5" s="33">
        <f t="shared" si="0"/>
        <v>521.5</v>
      </c>
    </row>
    <row r="6" spans="1:10" x14ac:dyDescent="0.3">
      <c r="B6" s="25" t="s">
        <v>54</v>
      </c>
      <c r="C6">
        <v>23571</v>
      </c>
      <c r="D6" s="33">
        <f t="shared" si="2"/>
        <v>392.85</v>
      </c>
      <c r="E6" s="32">
        <f t="shared" si="1"/>
        <v>6.5475000000000003</v>
      </c>
      <c r="F6" s="37">
        <f>C6/C10</f>
        <v>0.18314827621038238</v>
      </c>
      <c r="H6" s="25" t="s">
        <v>216</v>
      </c>
      <c r="I6">
        <v>12835</v>
      </c>
      <c r="J6" s="33">
        <f t="shared" si="0"/>
        <v>213.91666666666666</v>
      </c>
    </row>
    <row r="7" spans="1:10" x14ac:dyDescent="0.3">
      <c r="B7" s="25" t="s">
        <v>50</v>
      </c>
      <c r="C7">
        <v>4721</v>
      </c>
      <c r="D7" s="33">
        <f t="shared" si="2"/>
        <v>78.683333333333337</v>
      </c>
      <c r="E7" s="32">
        <f t="shared" si="1"/>
        <v>1.3113888888888889</v>
      </c>
      <c r="F7" s="37">
        <f>C7/C10</f>
        <v>3.6682491705452257E-2</v>
      </c>
      <c r="H7" s="25" t="s">
        <v>51</v>
      </c>
      <c r="I7">
        <v>6905</v>
      </c>
      <c r="J7" s="33">
        <f t="shared" si="0"/>
        <v>115.08333333333333</v>
      </c>
    </row>
    <row r="8" spans="1:10" x14ac:dyDescent="0.3">
      <c r="B8" s="25" t="s">
        <v>51</v>
      </c>
      <c r="C8">
        <v>6905</v>
      </c>
      <c r="D8" s="33">
        <f t="shared" si="2"/>
        <v>115.08333333333333</v>
      </c>
      <c r="E8" s="32">
        <f t="shared" si="1"/>
        <v>1.9180555555555554</v>
      </c>
      <c r="F8" s="37">
        <f>C8/C10</f>
        <v>5.3652320530851054E-2</v>
      </c>
      <c r="H8" s="25" t="s">
        <v>52</v>
      </c>
      <c r="I8">
        <v>4633</v>
      </c>
      <c r="J8" s="33">
        <f t="shared" si="0"/>
        <v>77.216666666666669</v>
      </c>
    </row>
    <row r="9" spans="1:10" x14ac:dyDescent="0.3">
      <c r="B9" s="25" t="s">
        <v>52</v>
      </c>
      <c r="C9">
        <v>4633</v>
      </c>
      <c r="D9" s="33">
        <f t="shared" si="2"/>
        <v>77.216666666666669</v>
      </c>
      <c r="E9" s="32">
        <f t="shared" si="1"/>
        <v>1.2869444444444444</v>
      </c>
      <c r="F9" s="37">
        <f>C9/C10</f>
        <v>3.5998725708824467E-2</v>
      </c>
      <c r="H9" s="25">
        <v>0</v>
      </c>
      <c r="I9">
        <v>28766</v>
      </c>
      <c r="J9" s="33">
        <f>I9/60</f>
        <v>479.43333333333334</v>
      </c>
    </row>
    <row r="10" spans="1:10" x14ac:dyDescent="0.3">
      <c r="B10" s="25" t="s">
        <v>1</v>
      </c>
      <c r="C10">
        <f>SUM(C3:C9)</f>
        <v>128699</v>
      </c>
      <c r="D10" s="33">
        <f>SUM(D3:D9)</f>
        <v>2144.9833333333336</v>
      </c>
      <c r="E10" s="32">
        <f>SUM(E3:E9)</f>
        <v>35.749722222222225</v>
      </c>
      <c r="F10" s="37">
        <f>SUM(F3:F9)</f>
        <v>0.99999999999999989</v>
      </c>
    </row>
    <row r="12" spans="1:10" x14ac:dyDescent="0.3">
      <c r="B12" t="s">
        <v>57</v>
      </c>
      <c r="C12" t="s">
        <v>55</v>
      </c>
    </row>
    <row r="13" spans="1:10" x14ac:dyDescent="0.3">
      <c r="B13" s="25">
        <v>0</v>
      </c>
      <c r="C13" s="33">
        <f t="shared" ref="C13:C19" si="3">D3</f>
        <v>479.43333333333334</v>
      </c>
    </row>
    <row r="14" spans="1:10" x14ac:dyDescent="0.3">
      <c r="B14" s="25">
        <v>1</v>
      </c>
      <c r="C14" s="33">
        <f t="shared" si="3"/>
        <v>224.78333333333333</v>
      </c>
    </row>
    <row r="15" spans="1:10" x14ac:dyDescent="0.3">
      <c r="B15" s="25" t="s">
        <v>53</v>
      </c>
      <c r="C15" s="33">
        <f t="shared" si="3"/>
        <v>776.93333333333328</v>
      </c>
    </row>
    <row r="16" spans="1:10" x14ac:dyDescent="0.3">
      <c r="B16" s="25" t="s">
        <v>54</v>
      </c>
      <c r="C16" s="33">
        <f t="shared" si="3"/>
        <v>392.85</v>
      </c>
    </row>
    <row r="17" spans="2:3" x14ac:dyDescent="0.3">
      <c r="B17" s="25" t="s">
        <v>50</v>
      </c>
      <c r="C17" s="33">
        <f t="shared" si="3"/>
        <v>78.683333333333337</v>
      </c>
    </row>
    <row r="18" spans="2:3" x14ac:dyDescent="0.3">
      <c r="B18" s="25" t="s">
        <v>51</v>
      </c>
      <c r="C18" s="33">
        <f t="shared" si="3"/>
        <v>115.08333333333333</v>
      </c>
    </row>
    <row r="19" spans="2:3" x14ac:dyDescent="0.3">
      <c r="B19" s="25" t="s">
        <v>52</v>
      </c>
      <c r="C19" s="33">
        <f t="shared" si="3"/>
        <v>77.216666666666669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0608-9CCC-466C-8DF3-EE7C83310FE8}">
  <dimension ref="A1:D156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2" max="2" width="24.21875" customWidth="1"/>
    <col min="3" max="3" width="25.77734375" customWidth="1"/>
    <col min="4" max="4" width="21.77734375" customWidth="1"/>
  </cols>
  <sheetData>
    <row r="1" spans="1:4" x14ac:dyDescent="0.3">
      <c r="A1" t="s">
        <v>222</v>
      </c>
    </row>
    <row r="2" spans="1:4" x14ac:dyDescent="0.3">
      <c r="B2" s="36" t="s">
        <v>59</v>
      </c>
      <c r="C2" s="35" t="s">
        <v>214</v>
      </c>
      <c r="D2" s="34" t="s">
        <v>49</v>
      </c>
    </row>
    <row r="3" spans="1:4" x14ac:dyDescent="0.3">
      <c r="B3" s="36" t="s">
        <v>114</v>
      </c>
      <c r="C3" s="32">
        <f t="shared" ref="C3:C34" si="0">D3/60</f>
        <v>227.43333333333334</v>
      </c>
      <c r="D3">
        <v>13646</v>
      </c>
    </row>
    <row r="4" spans="1:4" x14ac:dyDescent="0.3">
      <c r="B4" s="36" t="s">
        <v>62</v>
      </c>
      <c r="C4" s="32">
        <f t="shared" si="0"/>
        <v>144.58333333333334</v>
      </c>
      <c r="D4">
        <v>8675</v>
      </c>
    </row>
    <row r="5" spans="1:4" x14ac:dyDescent="0.3">
      <c r="B5" s="36" t="s">
        <v>199</v>
      </c>
      <c r="C5" s="32">
        <f t="shared" si="0"/>
        <v>103.53333333333333</v>
      </c>
      <c r="D5">
        <v>6212</v>
      </c>
    </row>
    <row r="6" spans="1:4" x14ac:dyDescent="0.3">
      <c r="B6" s="36" t="s">
        <v>163</v>
      </c>
      <c r="C6" s="32">
        <f t="shared" si="0"/>
        <v>76.45</v>
      </c>
      <c r="D6">
        <v>4587</v>
      </c>
    </row>
    <row r="7" spans="1:4" x14ac:dyDescent="0.3">
      <c r="B7" s="36" t="s">
        <v>202</v>
      </c>
      <c r="C7" s="32">
        <f t="shared" si="0"/>
        <v>70.849999999999994</v>
      </c>
      <c r="D7">
        <v>4251</v>
      </c>
    </row>
    <row r="8" spans="1:4" x14ac:dyDescent="0.3">
      <c r="B8" s="36" t="s">
        <v>190</v>
      </c>
      <c r="C8" s="32">
        <f t="shared" si="0"/>
        <v>70.650000000000006</v>
      </c>
      <c r="D8">
        <v>4239</v>
      </c>
    </row>
    <row r="9" spans="1:4" x14ac:dyDescent="0.3">
      <c r="B9" s="36" t="s">
        <v>176</v>
      </c>
      <c r="C9" s="32">
        <f t="shared" si="0"/>
        <v>64.75</v>
      </c>
      <c r="D9">
        <v>3885</v>
      </c>
    </row>
    <row r="10" spans="1:4" x14ac:dyDescent="0.3">
      <c r="B10" s="36" t="s">
        <v>140</v>
      </c>
      <c r="C10" s="32">
        <f t="shared" si="0"/>
        <v>62.56666666666667</v>
      </c>
      <c r="D10">
        <v>3754</v>
      </c>
    </row>
    <row r="11" spans="1:4" x14ac:dyDescent="0.3">
      <c r="B11" s="36" t="s">
        <v>78</v>
      </c>
      <c r="C11" s="32">
        <f t="shared" si="0"/>
        <v>57.65</v>
      </c>
      <c r="D11">
        <v>3459</v>
      </c>
    </row>
    <row r="12" spans="1:4" x14ac:dyDescent="0.3">
      <c r="B12" s="36" t="s">
        <v>113</v>
      </c>
      <c r="C12" s="32">
        <f t="shared" si="0"/>
        <v>50.216666666666669</v>
      </c>
      <c r="D12">
        <v>3013</v>
      </c>
    </row>
    <row r="13" spans="1:4" x14ac:dyDescent="0.3">
      <c r="B13" s="36" t="s">
        <v>69</v>
      </c>
      <c r="C13" s="32">
        <f t="shared" si="0"/>
        <v>44.116666666666667</v>
      </c>
      <c r="D13">
        <v>2647</v>
      </c>
    </row>
    <row r="14" spans="1:4" x14ac:dyDescent="0.3">
      <c r="B14" s="36" t="s">
        <v>182</v>
      </c>
      <c r="C14" s="32">
        <f t="shared" si="0"/>
        <v>43.95</v>
      </c>
      <c r="D14">
        <v>2637</v>
      </c>
    </row>
    <row r="15" spans="1:4" x14ac:dyDescent="0.3">
      <c r="B15" s="36" t="s">
        <v>148</v>
      </c>
      <c r="C15" s="32">
        <f t="shared" si="0"/>
        <v>41.033333333333331</v>
      </c>
      <c r="D15">
        <v>2462</v>
      </c>
    </row>
    <row r="16" spans="1:4" x14ac:dyDescent="0.3">
      <c r="B16" s="36" t="s">
        <v>158</v>
      </c>
      <c r="C16" s="32">
        <f t="shared" si="0"/>
        <v>39.416666666666664</v>
      </c>
      <c r="D16">
        <v>2365</v>
      </c>
    </row>
    <row r="17" spans="2:4" x14ac:dyDescent="0.3">
      <c r="B17" s="36" t="s">
        <v>63</v>
      </c>
      <c r="C17" s="32">
        <f t="shared" si="0"/>
        <v>35.866666666666667</v>
      </c>
      <c r="D17">
        <v>2152</v>
      </c>
    </row>
    <row r="18" spans="2:4" x14ac:dyDescent="0.3">
      <c r="B18" s="36" t="s">
        <v>186</v>
      </c>
      <c r="C18" s="32">
        <f t="shared" si="0"/>
        <v>32</v>
      </c>
      <c r="D18">
        <v>1920</v>
      </c>
    </row>
    <row r="19" spans="2:4" x14ac:dyDescent="0.3">
      <c r="B19" s="36" t="s">
        <v>192</v>
      </c>
      <c r="C19" s="32">
        <f t="shared" si="0"/>
        <v>31.55</v>
      </c>
      <c r="D19">
        <v>1893</v>
      </c>
    </row>
    <row r="20" spans="2:4" x14ac:dyDescent="0.3">
      <c r="B20" s="36" t="s">
        <v>211</v>
      </c>
      <c r="C20" s="32">
        <f t="shared" si="0"/>
        <v>28.2</v>
      </c>
      <c r="D20">
        <v>1692</v>
      </c>
    </row>
    <row r="21" spans="2:4" x14ac:dyDescent="0.3">
      <c r="B21" s="36" t="s">
        <v>178</v>
      </c>
      <c r="C21" s="32">
        <f t="shared" si="0"/>
        <v>27.55</v>
      </c>
      <c r="D21">
        <v>1653</v>
      </c>
    </row>
    <row r="22" spans="2:4" x14ac:dyDescent="0.3">
      <c r="B22" s="36" t="s">
        <v>105</v>
      </c>
      <c r="C22" s="32">
        <f t="shared" si="0"/>
        <v>26.5</v>
      </c>
      <c r="D22">
        <v>1590</v>
      </c>
    </row>
    <row r="23" spans="2:4" x14ac:dyDescent="0.3">
      <c r="B23" s="36" t="s">
        <v>61</v>
      </c>
      <c r="C23" s="32">
        <f t="shared" si="0"/>
        <v>20.433333333333334</v>
      </c>
      <c r="D23">
        <v>1226</v>
      </c>
    </row>
    <row r="24" spans="2:4" x14ac:dyDescent="0.3">
      <c r="B24" s="36" t="s">
        <v>70</v>
      </c>
      <c r="C24" s="32">
        <f t="shared" si="0"/>
        <v>20.25</v>
      </c>
      <c r="D24">
        <v>1215</v>
      </c>
    </row>
    <row r="25" spans="2:4" x14ac:dyDescent="0.3">
      <c r="B25" s="36" t="s">
        <v>159</v>
      </c>
      <c r="C25" s="32">
        <f t="shared" si="0"/>
        <v>19.983333333333334</v>
      </c>
      <c r="D25">
        <v>1199</v>
      </c>
    </row>
    <row r="26" spans="2:4" x14ac:dyDescent="0.3">
      <c r="B26" s="36" t="s">
        <v>177</v>
      </c>
      <c r="C26" s="32">
        <f t="shared" si="0"/>
        <v>19.966666666666665</v>
      </c>
      <c r="D26">
        <v>1198</v>
      </c>
    </row>
    <row r="27" spans="2:4" x14ac:dyDescent="0.3">
      <c r="B27" s="36" t="s">
        <v>65</v>
      </c>
      <c r="C27" s="32">
        <f t="shared" si="0"/>
        <v>19.433333333333334</v>
      </c>
      <c r="D27">
        <v>1166</v>
      </c>
    </row>
    <row r="28" spans="2:4" x14ac:dyDescent="0.3">
      <c r="B28" s="36" t="s">
        <v>87</v>
      </c>
      <c r="C28" s="32">
        <f t="shared" si="0"/>
        <v>18.366666666666667</v>
      </c>
      <c r="D28">
        <v>1102</v>
      </c>
    </row>
    <row r="29" spans="2:4" x14ac:dyDescent="0.3">
      <c r="B29" s="36" t="s">
        <v>82</v>
      </c>
      <c r="C29" s="32">
        <f t="shared" si="0"/>
        <v>18.350000000000001</v>
      </c>
      <c r="D29">
        <v>1101</v>
      </c>
    </row>
    <row r="30" spans="2:4" x14ac:dyDescent="0.3">
      <c r="B30" s="36" t="s">
        <v>136</v>
      </c>
      <c r="C30" s="32">
        <f t="shared" si="0"/>
        <v>17.766666666666666</v>
      </c>
      <c r="D30">
        <v>1066</v>
      </c>
    </row>
    <row r="31" spans="2:4" x14ac:dyDescent="0.3">
      <c r="B31" s="36" t="s">
        <v>100</v>
      </c>
      <c r="C31" s="32">
        <f t="shared" si="0"/>
        <v>17.350000000000001</v>
      </c>
      <c r="D31">
        <v>1041</v>
      </c>
    </row>
    <row r="32" spans="2:4" x14ac:dyDescent="0.3">
      <c r="B32" s="36" t="s">
        <v>95</v>
      </c>
      <c r="C32" s="32">
        <f t="shared" si="0"/>
        <v>17.3</v>
      </c>
      <c r="D32">
        <v>1038</v>
      </c>
    </row>
    <row r="33" spans="2:4" x14ac:dyDescent="0.3">
      <c r="B33" s="36" t="s">
        <v>180</v>
      </c>
      <c r="C33" s="32">
        <f t="shared" si="0"/>
        <v>16.316666666666666</v>
      </c>
      <c r="D33">
        <v>979</v>
      </c>
    </row>
    <row r="34" spans="2:4" x14ac:dyDescent="0.3">
      <c r="B34" s="36" t="s">
        <v>121</v>
      </c>
      <c r="C34" s="32">
        <f t="shared" si="0"/>
        <v>15.9</v>
      </c>
      <c r="D34">
        <v>954</v>
      </c>
    </row>
    <row r="35" spans="2:4" x14ac:dyDescent="0.3">
      <c r="B35" s="36" t="s">
        <v>185</v>
      </c>
      <c r="C35" s="32">
        <f t="shared" ref="C35:C66" si="1">D35/60</f>
        <v>15.716666666666667</v>
      </c>
      <c r="D35">
        <v>943</v>
      </c>
    </row>
    <row r="36" spans="2:4" x14ac:dyDescent="0.3">
      <c r="B36" s="36" t="s">
        <v>150</v>
      </c>
      <c r="C36" s="32">
        <f t="shared" si="1"/>
        <v>15.7</v>
      </c>
      <c r="D36">
        <v>942</v>
      </c>
    </row>
    <row r="37" spans="2:4" x14ac:dyDescent="0.3">
      <c r="B37" s="36" t="s">
        <v>123</v>
      </c>
      <c r="C37" s="32">
        <f t="shared" si="1"/>
        <v>14.933333333333334</v>
      </c>
      <c r="D37">
        <v>896</v>
      </c>
    </row>
    <row r="38" spans="2:4" x14ac:dyDescent="0.3">
      <c r="B38" s="36" t="s">
        <v>127</v>
      </c>
      <c r="C38" s="32">
        <f t="shared" si="1"/>
        <v>14.833333333333334</v>
      </c>
      <c r="D38">
        <v>890</v>
      </c>
    </row>
    <row r="39" spans="2:4" x14ac:dyDescent="0.3">
      <c r="B39" s="36" t="s">
        <v>203</v>
      </c>
      <c r="C39" s="32">
        <f t="shared" si="1"/>
        <v>14.466666666666667</v>
      </c>
      <c r="D39">
        <v>868</v>
      </c>
    </row>
    <row r="40" spans="2:4" x14ac:dyDescent="0.3">
      <c r="B40" s="36" t="s">
        <v>213</v>
      </c>
      <c r="C40" s="32">
        <f t="shared" si="1"/>
        <v>14.083333333333334</v>
      </c>
      <c r="D40">
        <v>845</v>
      </c>
    </row>
    <row r="41" spans="2:4" x14ac:dyDescent="0.3">
      <c r="B41" s="36" t="s">
        <v>152</v>
      </c>
      <c r="C41" s="32">
        <f t="shared" si="1"/>
        <v>14.033333333333333</v>
      </c>
      <c r="D41">
        <v>842</v>
      </c>
    </row>
    <row r="42" spans="2:4" x14ac:dyDescent="0.3">
      <c r="B42" s="36" t="s">
        <v>174</v>
      </c>
      <c r="C42" s="32">
        <f t="shared" si="1"/>
        <v>13.2</v>
      </c>
      <c r="D42">
        <v>792</v>
      </c>
    </row>
    <row r="43" spans="2:4" x14ac:dyDescent="0.3">
      <c r="B43" s="36" t="s">
        <v>68</v>
      </c>
      <c r="C43" s="32">
        <f t="shared" si="1"/>
        <v>12.9</v>
      </c>
      <c r="D43">
        <v>774</v>
      </c>
    </row>
    <row r="44" spans="2:4" x14ac:dyDescent="0.3">
      <c r="B44" s="36" t="s">
        <v>81</v>
      </c>
      <c r="C44" s="32">
        <f t="shared" si="1"/>
        <v>12.6</v>
      </c>
      <c r="D44">
        <v>756</v>
      </c>
    </row>
    <row r="45" spans="2:4" x14ac:dyDescent="0.3">
      <c r="B45" s="36" t="s">
        <v>117</v>
      </c>
      <c r="C45" s="32">
        <f t="shared" si="1"/>
        <v>12.333333333333334</v>
      </c>
      <c r="D45">
        <v>740</v>
      </c>
    </row>
    <row r="46" spans="2:4" x14ac:dyDescent="0.3">
      <c r="B46" s="36" t="s">
        <v>67</v>
      </c>
      <c r="C46" s="32">
        <f t="shared" si="1"/>
        <v>12.283333333333333</v>
      </c>
      <c r="D46">
        <v>737</v>
      </c>
    </row>
    <row r="47" spans="2:4" x14ac:dyDescent="0.3">
      <c r="B47" s="36" t="s">
        <v>90</v>
      </c>
      <c r="C47" s="32">
        <f t="shared" si="1"/>
        <v>12.1</v>
      </c>
      <c r="D47">
        <v>726</v>
      </c>
    </row>
    <row r="48" spans="2:4" x14ac:dyDescent="0.3">
      <c r="B48" s="36" t="s">
        <v>97</v>
      </c>
      <c r="C48" s="32">
        <f t="shared" si="1"/>
        <v>11.633333333333333</v>
      </c>
      <c r="D48">
        <v>698</v>
      </c>
    </row>
    <row r="49" spans="2:4" x14ac:dyDescent="0.3">
      <c r="B49" s="36" t="s">
        <v>138</v>
      </c>
      <c r="C49" s="32">
        <f t="shared" si="1"/>
        <v>11.633333333333333</v>
      </c>
      <c r="D49">
        <v>698</v>
      </c>
    </row>
    <row r="50" spans="2:4" x14ac:dyDescent="0.3">
      <c r="B50" s="36" t="s">
        <v>200</v>
      </c>
      <c r="C50" s="32">
        <f t="shared" si="1"/>
        <v>10.983333333333333</v>
      </c>
      <c r="D50">
        <v>659</v>
      </c>
    </row>
    <row r="51" spans="2:4" x14ac:dyDescent="0.3">
      <c r="B51" s="36" t="s">
        <v>207</v>
      </c>
      <c r="C51" s="32">
        <f t="shared" si="1"/>
        <v>10.766666666666667</v>
      </c>
      <c r="D51">
        <v>646</v>
      </c>
    </row>
    <row r="52" spans="2:4" x14ac:dyDescent="0.3">
      <c r="B52" s="36" t="s">
        <v>104</v>
      </c>
      <c r="C52" s="32">
        <f t="shared" si="1"/>
        <v>10.35</v>
      </c>
      <c r="D52">
        <v>621</v>
      </c>
    </row>
    <row r="53" spans="2:4" x14ac:dyDescent="0.3">
      <c r="B53" s="36" t="s">
        <v>141</v>
      </c>
      <c r="C53" s="32">
        <f t="shared" si="1"/>
        <v>10.333333333333334</v>
      </c>
      <c r="D53">
        <v>620</v>
      </c>
    </row>
    <row r="54" spans="2:4" x14ac:dyDescent="0.3">
      <c r="B54" s="36" t="s">
        <v>145</v>
      </c>
      <c r="C54" s="32">
        <f t="shared" si="1"/>
        <v>10.066666666666666</v>
      </c>
      <c r="D54">
        <v>604</v>
      </c>
    </row>
    <row r="55" spans="2:4" x14ac:dyDescent="0.3">
      <c r="B55" s="36" t="s">
        <v>183</v>
      </c>
      <c r="C55" s="32">
        <f t="shared" si="1"/>
        <v>9.5666666666666664</v>
      </c>
      <c r="D55">
        <v>574</v>
      </c>
    </row>
    <row r="56" spans="2:4" x14ac:dyDescent="0.3">
      <c r="B56" s="36" t="s">
        <v>75</v>
      </c>
      <c r="C56" s="32">
        <f t="shared" si="1"/>
        <v>9.3333333333333339</v>
      </c>
      <c r="D56">
        <v>560</v>
      </c>
    </row>
    <row r="57" spans="2:4" x14ac:dyDescent="0.3">
      <c r="B57" s="36" t="s">
        <v>86</v>
      </c>
      <c r="C57" s="32">
        <f t="shared" si="1"/>
        <v>9.0666666666666664</v>
      </c>
      <c r="D57">
        <v>544</v>
      </c>
    </row>
    <row r="58" spans="2:4" x14ac:dyDescent="0.3">
      <c r="B58" s="36" t="s">
        <v>73</v>
      </c>
      <c r="C58" s="32">
        <f t="shared" si="1"/>
        <v>9.0166666666666675</v>
      </c>
      <c r="D58">
        <v>541</v>
      </c>
    </row>
    <row r="59" spans="2:4" x14ac:dyDescent="0.3">
      <c r="B59" s="36" t="s">
        <v>110</v>
      </c>
      <c r="C59" s="32">
        <f t="shared" si="1"/>
        <v>8.9499999999999993</v>
      </c>
      <c r="D59">
        <v>537</v>
      </c>
    </row>
    <row r="60" spans="2:4" x14ac:dyDescent="0.3">
      <c r="B60" s="36" t="s">
        <v>131</v>
      </c>
      <c r="C60" s="32">
        <f t="shared" si="1"/>
        <v>8.8333333333333339</v>
      </c>
      <c r="D60">
        <v>530</v>
      </c>
    </row>
    <row r="61" spans="2:4" x14ac:dyDescent="0.3">
      <c r="B61" s="36" t="s">
        <v>164</v>
      </c>
      <c r="C61" s="32">
        <f t="shared" si="1"/>
        <v>8.5333333333333332</v>
      </c>
      <c r="D61">
        <v>512</v>
      </c>
    </row>
    <row r="62" spans="2:4" x14ac:dyDescent="0.3">
      <c r="B62" s="36" t="s">
        <v>60</v>
      </c>
      <c r="C62" s="32">
        <f t="shared" si="1"/>
        <v>8.1333333333333329</v>
      </c>
      <c r="D62">
        <v>488</v>
      </c>
    </row>
    <row r="63" spans="2:4" x14ac:dyDescent="0.3">
      <c r="B63" s="36" t="s">
        <v>76</v>
      </c>
      <c r="C63" s="32">
        <f t="shared" si="1"/>
        <v>7.916666666666667</v>
      </c>
      <c r="D63">
        <v>475</v>
      </c>
    </row>
    <row r="64" spans="2:4" x14ac:dyDescent="0.3">
      <c r="B64" s="36" t="s">
        <v>209</v>
      </c>
      <c r="C64" s="32">
        <f t="shared" si="1"/>
        <v>7.75</v>
      </c>
      <c r="D64">
        <v>465</v>
      </c>
    </row>
    <row r="65" spans="2:4" x14ac:dyDescent="0.3">
      <c r="B65" s="36" t="s">
        <v>205</v>
      </c>
      <c r="C65" s="32">
        <f t="shared" si="1"/>
        <v>7.5</v>
      </c>
      <c r="D65">
        <v>450</v>
      </c>
    </row>
    <row r="66" spans="2:4" x14ac:dyDescent="0.3">
      <c r="B66" s="36" t="s">
        <v>66</v>
      </c>
      <c r="C66" s="32">
        <f t="shared" si="1"/>
        <v>7.2833333333333332</v>
      </c>
      <c r="D66">
        <v>437</v>
      </c>
    </row>
    <row r="67" spans="2:4" x14ac:dyDescent="0.3">
      <c r="B67" s="36" t="s">
        <v>118</v>
      </c>
      <c r="C67" s="32">
        <f t="shared" ref="C67:C98" si="2">D67/60</f>
        <v>6.6</v>
      </c>
      <c r="D67">
        <v>396</v>
      </c>
    </row>
    <row r="68" spans="2:4" x14ac:dyDescent="0.3">
      <c r="B68" s="36" t="s">
        <v>156</v>
      </c>
      <c r="C68" s="32">
        <f t="shared" si="2"/>
        <v>6.6</v>
      </c>
      <c r="D68">
        <v>396</v>
      </c>
    </row>
    <row r="69" spans="2:4" x14ac:dyDescent="0.3">
      <c r="B69" s="36" t="s">
        <v>149</v>
      </c>
      <c r="C69" s="32">
        <f t="shared" si="2"/>
        <v>6.4666666666666668</v>
      </c>
      <c r="D69">
        <v>388</v>
      </c>
    </row>
    <row r="70" spans="2:4" x14ac:dyDescent="0.3">
      <c r="B70" s="36" t="s">
        <v>93</v>
      </c>
      <c r="C70" s="32">
        <f t="shared" si="2"/>
        <v>6.416666666666667</v>
      </c>
      <c r="D70">
        <v>385</v>
      </c>
    </row>
    <row r="71" spans="2:4" x14ac:dyDescent="0.3">
      <c r="B71" s="36" t="s">
        <v>206</v>
      </c>
      <c r="C71" s="32">
        <f t="shared" si="2"/>
        <v>6.416666666666667</v>
      </c>
      <c r="D71">
        <v>385</v>
      </c>
    </row>
    <row r="72" spans="2:4" x14ac:dyDescent="0.3">
      <c r="B72" s="36" t="s">
        <v>166</v>
      </c>
      <c r="C72" s="32">
        <f t="shared" si="2"/>
        <v>6.3</v>
      </c>
      <c r="D72">
        <v>378</v>
      </c>
    </row>
    <row r="73" spans="2:4" x14ac:dyDescent="0.3">
      <c r="B73" s="36" t="s">
        <v>181</v>
      </c>
      <c r="C73" s="32">
        <f t="shared" si="2"/>
        <v>6.0333333333333332</v>
      </c>
      <c r="D73">
        <v>362</v>
      </c>
    </row>
    <row r="74" spans="2:4" x14ac:dyDescent="0.3">
      <c r="B74" s="36" t="s">
        <v>79</v>
      </c>
      <c r="C74" s="32">
        <f t="shared" si="2"/>
        <v>5.9833333333333334</v>
      </c>
      <c r="D74">
        <v>359</v>
      </c>
    </row>
    <row r="75" spans="2:4" x14ac:dyDescent="0.3">
      <c r="B75" s="36" t="s">
        <v>101</v>
      </c>
      <c r="C75" s="32">
        <f t="shared" si="2"/>
        <v>5.916666666666667</v>
      </c>
      <c r="D75">
        <v>355</v>
      </c>
    </row>
    <row r="76" spans="2:4" x14ac:dyDescent="0.3">
      <c r="B76" s="36" t="s">
        <v>88</v>
      </c>
      <c r="C76" s="32">
        <f t="shared" si="2"/>
        <v>5.8833333333333337</v>
      </c>
      <c r="D76">
        <v>353</v>
      </c>
    </row>
    <row r="77" spans="2:4" x14ac:dyDescent="0.3">
      <c r="B77" s="36" t="s">
        <v>196</v>
      </c>
      <c r="C77" s="32">
        <f t="shared" si="2"/>
        <v>5.833333333333333</v>
      </c>
      <c r="D77">
        <v>350</v>
      </c>
    </row>
    <row r="78" spans="2:4" x14ac:dyDescent="0.3">
      <c r="B78" s="36" t="s">
        <v>155</v>
      </c>
      <c r="C78" s="32">
        <f t="shared" si="2"/>
        <v>5.8</v>
      </c>
      <c r="D78">
        <v>348</v>
      </c>
    </row>
    <row r="79" spans="2:4" x14ac:dyDescent="0.3">
      <c r="B79" s="36" t="s">
        <v>111</v>
      </c>
      <c r="C79" s="32">
        <f t="shared" si="2"/>
        <v>5.7333333333333334</v>
      </c>
      <c r="D79">
        <v>344</v>
      </c>
    </row>
    <row r="80" spans="2:4" x14ac:dyDescent="0.3">
      <c r="B80" s="36" t="s">
        <v>171</v>
      </c>
      <c r="C80" s="32">
        <f t="shared" si="2"/>
        <v>5.666666666666667</v>
      </c>
      <c r="D80">
        <v>340</v>
      </c>
    </row>
    <row r="81" spans="2:4" x14ac:dyDescent="0.3">
      <c r="B81" s="36" t="s">
        <v>106</v>
      </c>
      <c r="C81" s="32">
        <f t="shared" si="2"/>
        <v>5.35</v>
      </c>
      <c r="D81">
        <v>321</v>
      </c>
    </row>
    <row r="82" spans="2:4" x14ac:dyDescent="0.3">
      <c r="B82" s="36" t="s">
        <v>162</v>
      </c>
      <c r="C82" s="32">
        <f t="shared" si="2"/>
        <v>5.1833333333333336</v>
      </c>
      <c r="D82">
        <v>311</v>
      </c>
    </row>
    <row r="83" spans="2:4" x14ac:dyDescent="0.3">
      <c r="B83" s="36" t="s">
        <v>71</v>
      </c>
      <c r="C83" s="32">
        <f t="shared" si="2"/>
        <v>5.0333333333333332</v>
      </c>
      <c r="D83">
        <v>302</v>
      </c>
    </row>
    <row r="84" spans="2:4" x14ac:dyDescent="0.3">
      <c r="B84" s="36" t="s">
        <v>94</v>
      </c>
      <c r="C84" s="32">
        <f t="shared" si="2"/>
        <v>5</v>
      </c>
      <c r="D84">
        <v>300</v>
      </c>
    </row>
    <row r="85" spans="2:4" x14ac:dyDescent="0.3">
      <c r="B85" s="36" t="s">
        <v>132</v>
      </c>
      <c r="C85" s="32">
        <f t="shared" si="2"/>
        <v>4.9666666666666668</v>
      </c>
      <c r="D85">
        <v>298</v>
      </c>
    </row>
    <row r="86" spans="2:4" x14ac:dyDescent="0.3">
      <c r="B86" s="36" t="s">
        <v>74</v>
      </c>
      <c r="C86" s="32">
        <f t="shared" si="2"/>
        <v>4.95</v>
      </c>
      <c r="D86">
        <v>297</v>
      </c>
    </row>
    <row r="87" spans="2:4" x14ac:dyDescent="0.3">
      <c r="B87" s="36" t="s">
        <v>116</v>
      </c>
      <c r="C87" s="32">
        <f t="shared" si="2"/>
        <v>4.833333333333333</v>
      </c>
      <c r="D87">
        <v>290</v>
      </c>
    </row>
    <row r="88" spans="2:4" x14ac:dyDescent="0.3">
      <c r="B88" s="36" t="s">
        <v>144</v>
      </c>
      <c r="C88" s="32">
        <f t="shared" si="2"/>
        <v>4.7666666666666666</v>
      </c>
      <c r="D88">
        <v>286</v>
      </c>
    </row>
    <row r="89" spans="2:4" x14ac:dyDescent="0.3">
      <c r="B89" s="36" t="s">
        <v>125</v>
      </c>
      <c r="C89" s="32">
        <f t="shared" si="2"/>
        <v>4.5333333333333332</v>
      </c>
      <c r="D89">
        <v>272</v>
      </c>
    </row>
    <row r="90" spans="2:4" x14ac:dyDescent="0.3">
      <c r="B90" s="36" t="s">
        <v>198</v>
      </c>
      <c r="C90" s="32">
        <f t="shared" si="2"/>
        <v>4.5166666666666666</v>
      </c>
      <c r="D90">
        <v>271</v>
      </c>
    </row>
    <row r="91" spans="2:4" x14ac:dyDescent="0.3">
      <c r="B91" s="36" t="s">
        <v>124</v>
      </c>
      <c r="C91" s="32">
        <f t="shared" si="2"/>
        <v>4.4000000000000004</v>
      </c>
      <c r="D91">
        <v>264</v>
      </c>
    </row>
    <row r="92" spans="2:4" x14ac:dyDescent="0.3">
      <c r="B92" s="36" t="s">
        <v>130</v>
      </c>
      <c r="C92" s="32">
        <f t="shared" si="2"/>
        <v>4.3166666666666664</v>
      </c>
      <c r="D92">
        <v>259</v>
      </c>
    </row>
    <row r="93" spans="2:4" x14ac:dyDescent="0.3">
      <c r="B93" s="36" t="s">
        <v>96</v>
      </c>
      <c r="C93" s="32">
        <f t="shared" si="2"/>
        <v>4.2333333333333334</v>
      </c>
      <c r="D93">
        <v>254</v>
      </c>
    </row>
    <row r="94" spans="2:4" x14ac:dyDescent="0.3">
      <c r="B94" s="36" t="s">
        <v>187</v>
      </c>
      <c r="C94" s="32">
        <f t="shared" si="2"/>
        <v>4.2333333333333334</v>
      </c>
      <c r="D94">
        <v>254</v>
      </c>
    </row>
    <row r="95" spans="2:4" x14ac:dyDescent="0.3">
      <c r="B95" s="36" t="s">
        <v>165</v>
      </c>
      <c r="C95" s="32">
        <f t="shared" si="2"/>
        <v>3.9833333333333334</v>
      </c>
      <c r="D95">
        <v>239</v>
      </c>
    </row>
    <row r="96" spans="2:4" x14ac:dyDescent="0.3">
      <c r="B96" s="36" t="s">
        <v>195</v>
      </c>
      <c r="C96" s="32">
        <f t="shared" si="2"/>
        <v>3.9666666666666668</v>
      </c>
      <c r="D96">
        <v>238</v>
      </c>
    </row>
    <row r="97" spans="2:4" x14ac:dyDescent="0.3">
      <c r="B97" s="36" t="s">
        <v>80</v>
      </c>
      <c r="C97" s="32">
        <f t="shared" si="2"/>
        <v>3.9</v>
      </c>
      <c r="D97">
        <v>234</v>
      </c>
    </row>
    <row r="98" spans="2:4" x14ac:dyDescent="0.3">
      <c r="B98" s="36" t="s">
        <v>179</v>
      </c>
      <c r="C98" s="32">
        <f t="shared" si="2"/>
        <v>3.9</v>
      </c>
      <c r="D98">
        <v>234</v>
      </c>
    </row>
    <row r="99" spans="2:4" x14ac:dyDescent="0.3">
      <c r="B99" s="36" t="s">
        <v>169</v>
      </c>
      <c r="C99" s="32">
        <f t="shared" ref="C99:C130" si="3">D99/60</f>
        <v>3.85</v>
      </c>
      <c r="D99">
        <v>231</v>
      </c>
    </row>
    <row r="100" spans="2:4" x14ac:dyDescent="0.3">
      <c r="B100" s="36" t="s">
        <v>91</v>
      </c>
      <c r="C100" s="32">
        <f t="shared" si="3"/>
        <v>3.7166666666666668</v>
      </c>
      <c r="D100">
        <v>223</v>
      </c>
    </row>
    <row r="101" spans="2:4" x14ac:dyDescent="0.3">
      <c r="B101" s="36" t="s">
        <v>143</v>
      </c>
      <c r="C101" s="32">
        <f t="shared" si="3"/>
        <v>3.3666666666666667</v>
      </c>
      <c r="D101">
        <v>202</v>
      </c>
    </row>
    <row r="102" spans="2:4" x14ac:dyDescent="0.3">
      <c r="B102" s="36" t="s">
        <v>89</v>
      </c>
      <c r="C102" s="32">
        <f t="shared" si="3"/>
        <v>3.2166666666666668</v>
      </c>
      <c r="D102">
        <v>193</v>
      </c>
    </row>
    <row r="103" spans="2:4" x14ac:dyDescent="0.3">
      <c r="B103" s="36" t="s">
        <v>135</v>
      </c>
      <c r="C103" s="32">
        <f t="shared" si="3"/>
        <v>3.1833333333333331</v>
      </c>
      <c r="D103">
        <v>191</v>
      </c>
    </row>
    <row r="104" spans="2:4" x14ac:dyDescent="0.3">
      <c r="B104" s="36" t="s">
        <v>153</v>
      </c>
      <c r="C104" s="32">
        <f t="shared" si="3"/>
        <v>3.1833333333333331</v>
      </c>
      <c r="D104">
        <v>191</v>
      </c>
    </row>
    <row r="105" spans="2:4" x14ac:dyDescent="0.3">
      <c r="B105" s="36" t="s">
        <v>189</v>
      </c>
      <c r="C105" s="32">
        <f t="shared" si="3"/>
        <v>3.1666666666666665</v>
      </c>
      <c r="D105">
        <v>190</v>
      </c>
    </row>
    <row r="106" spans="2:4" x14ac:dyDescent="0.3">
      <c r="B106" s="36" t="s">
        <v>103</v>
      </c>
      <c r="C106" s="32">
        <f t="shared" si="3"/>
        <v>3.15</v>
      </c>
      <c r="D106">
        <v>189</v>
      </c>
    </row>
    <row r="107" spans="2:4" x14ac:dyDescent="0.3">
      <c r="B107" s="36" t="s">
        <v>122</v>
      </c>
      <c r="C107" s="32">
        <f t="shared" si="3"/>
        <v>3.0333333333333332</v>
      </c>
      <c r="D107">
        <v>182</v>
      </c>
    </row>
    <row r="108" spans="2:4" x14ac:dyDescent="0.3">
      <c r="B108" s="36" t="s">
        <v>193</v>
      </c>
      <c r="C108" s="32">
        <f t="shared" si="3"/>
        <v>3.0333333333333332</v>
      </c>
      <c r="D108">
        <v>182</v>
      </c>
    </row>
    <row r="109" spans="2:4" x14ac:dyDescent="0.3">
      <c r="B109" s="36" t="s">
        <v>112</v>
      </c>
      <c r="C109" s="32">
        <f t="shared" si="3"/>
        <v>3</v>
      </c>
      <c r="D109">
        <v>180</v>
      </c>
    </row>
    <row r="110" spans="2:4" x14ac:dyDescent="0.3">
      <c r="B110" s="36" t="s">
        <v>197</v>
      </c>
      <c r="C110" s="32">
        <f t="shared" si="3"/>
        <v>2.9666666666666668</v>
      </c>
      <c r="D110">
        <v>178</v>
      </c>
    </row>
    <row r="111" spans="2:4" x14ac:dyDescent="0.3">
      <c r="B111" s="36" t="s">
        <v>77</v>
      </c>
      <c r="C111" s="32">
        <f t="shared" si="3"/>
        <v>2.95</v>
      </c>
      <c r="D111">
        <v>177</v>
      </c>
    </row>
    <row r="112" spans="2:4" x14ac:dyDescent="0.3">
      <c r="B112" s="36" t="s">
        <v>167</v>
      </c>
      <c r="C112" s="32">
        <f t="shared" si="3"/>
        <v>2.95</v>
      </c>
      <c r="D112">
        <v>177</v>
      </c>
    </row>
    <row r="113" spans="2:4" x14ac:dyDescent="0.3">
      <c r="B113" s="36" t="s">
        <v>194</v>
      </c>
      <c r="C113" s="32">
        <f t="shared" si="3"/>
        <v>2.9166666666666665</v>
      </c>
      <c r="D113">
        <v>175</v>
      </c>
    </row>
    <row r="114" spans="2:4" x14ac:dyDescent="0.3">
      <c r="B114" s="36" t="s">
        <v>108</v>
      </c>
      <c r="C114" s="32">
        <f t="shared" si="3"/>
        <v>2.8</v>
      </c>
      <c r="D114">
        <v>168</v>
      </c>
    </row>
    <row r="115" spans="2:4" x14ac:dyDescent="0.3">
      <c r="B115" s="36" t="s">
        <v>107</v>
      </c>
      <c r="C115" s="32">
        <f t="shared" si="3"/>
        <v>2.7666666666666666</v>
      </c>
      <c r="D115">
        <v>166</v>
      </c>
    </row>
    <row r="116" spans="2:4" x14ac:dyDescent="0.3">
      <c r="B116" s="36" t="s">
        <v>191</v>
      </c>
      <c r="C116" s="32">
        <f t="shared" si="3"/>
        <v>2.7666666666666666</v>
      </c>
      <c r="D116">
        <v>166</v>
      </c>
    </row>
    <row r="117" spans="2:4" x14ac:dyDescent="0.3">
      <c r="B117" s="36" t="s">
        <v>85</v>
      </c>
      <c r="C117" s="32">
        <f t="shared" si="3"/>
        <v>2.6166666666666667</v>
      </c>
      <c r="D117">
        <v>157</v>
      </c>
    </row>
    <row r="118" spans="2:4" x14ac:dyDescent="0.3">
      <c r="B118" s="36" t="s">
        <v>102</v>
      </c>
      <c r="C118" s="32">
        <f t="shared" si="3"/>
        <v>2.5833333333333335</v>
      </c>
      <c r="D118">
        <v>155</v>
      </c>
    </row>
    <row r="119" spans="2:4" x14ac:dyDescent="0.3">
      <c r="B119" s="36" t="s">
        <v>146</v>
      </c>
      <c r="C119" s="32">
        <f t="shared" si="3"/>
        <v>2.5833333333333335</v>
      </c>
      <c r="D119">
        <v>155</v>
      </c>
    </row>
    <row r="120" spans="2:4" x14ac:dyDescent="0.3">
      <c r="B120" s="36" t="s">
        <v>98</v>
      </c>
      <c r="C120" s="32">
        <f t="shared" si="3"/>
        <v>2.4833333333333334</v>
      </c>
      <c r="D120">
        <v>149</v>
      </c>
    </row>
    <row r="121" spans="2:4" x14ac:dyDescent="0.3">
      <c r="B121" s="36" t="s">
        <v>168</v>
      </c>
      <c r="C121" s="32">
        <f t="shared" si="3"/>
        <v>2.4500000000000002</v>
      </c>
      <c r="D121">
        <v>147</v>
      </c>
    </row>
    <row r="122" spans="2:4" x14ac:dyDescent="0.3">
      <c r="B122" s="36" t="s">
        <v>64</v>
      </c>
      <c r="C122" s="32">
        <f t="shared" si="3"/>
        <v>2.4</v>
      </c>
      <c r="D122">
        <v>144</v>
      </c>
    </row>
    <row r="123" spans="2:4" x14ac:dyDescent="0.3">
      <c r="B123" s="36" t="s">
        <v>151</v>
      </c>
      <c r="C123" s="32">
        <f t="shared" si="3"/>
        <v>2.4</v>
      </c>
      <c r="D123">
        <v>144</v>
      </c>
    </row>
    <row r="124" spans="2:4" x14ac:dyDescent="0.3">
      <c r="B124" s="36" t="s">
        <v>147</v>
      </c>
      <c r="C124" s="32">
        <f t="shared" si="3"/>
        <v>2.3833333333333333</v>
      </c>
      <c r="D124">
        <v>143</v>
      </c>
    </row>
    <row r="125" spans="2:4" x14ac:dyDescent="0.3">
      <c r="B125" s="36" t="s">
        <v>170</v>
      </c>
      <c r="C125" s="32">
        <f t="shared" si="3"/>
        <v>2.3833333333333333</v>
      </c>
      <c r="D125">
        <v>143</v>
      </c>
    </row>
    <row r="126" spans="2:4" x14ac:dyDescent="0.3">
      <c r="B126" s="36" t="s">
        <v>126</v>
      </c>
      <c r="C126" s="32">
        <f t="shared" si="3"/>
        <v>2.3666666666666667</v>
      </c>
      <c r="D126">
        <v>142</v>
      </c>
    </row>
    <row r="127" spans="2:4" x14ac:dyDescent="0.3">
      <c r="B127" s="36" t="s">
        <v>83</v>
      </c>
      <c r="C127" s="32">
        <f t="shared" si="3"/>
        <v>2.1833333333333331</v>
      </c>
      <c r="D127">
        <v>131</v>
      </c>
    </row>
    <row r="128" spans="2:4" x14ac:dyDescent="0.3">
      <c r="B128" s="36" t="s">
        <v>208</v>
      </c>
      <c r="C128" s="32">
        <f t="shared" si="3"/>
        <v>1.9666666666666666</v>
      </c>
      <c r="D128">
        <v>118</v>
      </c>
    </row>
    <row r="129" spans="2:4" x14ac:dyDescent="0.3">
      <c r="B129" s="36" t="s">
        <v>161</v>
      </c>
      <c r="C129" s="32">
        <f t="shared" si="3"/>
        <v>1.85</v>
      </c>
      <c r="D129">
        <v>111</v>
      </c>
    </row>
    <row r="130" spans="2:4" x14ac:dyDescent="0.3">
      <c r="B130" s="36" t="s">
        <v>115</v>
      </c>
      <c r="C130" s="32">
        <f t="shared" si="3"/>
        <v>1.8166666666666667</v>
      </c>
      <c r="D130">
        <v>109</v>
      </c>
    </row>
    <row r="131" spans="2:4" x14ac:dyDescent="0.3">
      <c r="B131" s="36" t="s">
        <v>210</v>
      </c>
      <c r="C131" s="32">
        <f t="shared" ref="C131:C156" si="4">D131/60</f>
        <v>1.8</v>
      </c>
      <c r="D131">
        <v>108</v>
      </c>
    </row>
    <row r="132" spans="2:4" x14ac:dyDescent="0.3">
      <c r="B132" s="36" t="s">
        <v>139</v>
      </c>
      <c r="C132" s="32">
        <f t="shared" si="4"/>
        <v>1.6833333333333333</v>
      </c>
      <c r="D132">
        <v>101</v>
      </c>
    </row>
    <row r="133" spans="2:4" x14ac:dyDescent="0.3">
      <c r="B133" s="36" t="s">
        <v>137</v>
      </c>
      <c r="C133" s="32">
        <f t="shared" si="4"/>
        <v>1.5833333333333333</v>
      </c>
      <c r="D133">
        <v>95</v>
      </c>
    </row>
    <row r="134" spans="2:4" x14ac:dyDescent="0.3">
      <c r="B134" s="36" t="s">
        <v>201</v>
      </c>
      <c r="C134" s="32">
        <f t="shared" si="4"/>
        <v>1.5833333333333333</v>
      </c>
      <c r="D134">
        <v>95</v>
      </c>
    </row>
    <row r="135" spans="2:4" x14ac:dyDescent="0.3">
      <c r="B135" s="36" t="s">
        <v>120</v>
      </c>
      <c r="C135" s="32">
        <f t="shared" si="4"/>
        <v>1.5166666666666666</v>
      </c>
      <c r="D135">
        <v>91</v>
      </c>
    </row>
    <row r="136" spans="2:4" x14ac:dyDescent="0.3">
      <c r="B136" s="36" t="s">
        <v>160</v>
      </c>
      <c r="C136" s="32">
        <f t="shared" si="4"/>
        <v>1.5166666666666666</v>
      </c>
      <c r="D136">
        <v>91</v>
      </c>
    </row>
    <row r="137" spans="2:4" x14ac:dyDescent="0.3">
      <c r="B137" s="36" t="s">
        <v>175</v>
      </c>
      <c r="C137" s="32">
        <f t="shared" si="4"/>
        <v>1.5166666666666666</v>
      </c>
      <c r="D137">
        <v>91</v>
      </c>
    </row>
    <row r="138" spans="2:4" x14ac:dyDescent="0.3">
      <c r="B138" s="36" t="s">
        <v>142</v>
      </c>
      <c r="C138" s="32">
        <f t="shared" si="4"/>
        <v>1.45</v>
      </c>
      <c r="D138">
        <v>87</v>
      </c>
    </row>
    <row r="139" spans="2:4" x14ac:dyDescent="0.3">
      <c r="B139" s="36" t="s">
        <v>72</v>
      </c>
      <c r="C139" s="32">
        <f t="shared" si="4"/>
        <v>1.4333333333333333</v>
      </c>
      <c r="D139">
        <v>86</v>
      </c>
    </row>
    <row r="140" spans="2:4" x14ac:dyDescent="0.3">
      <c r="B140" s="36" t="s">
        <v>173</v>
      </c>
      <c r="C140" s="32">
        <f t="shared" si="4"/>
        <v>1.4333333333333333</v>
      </c>
      <c r="D140">
        <v>86</v>
      </c>
    </row>
    <row r="141" spans="2:4" x14ac:dyDescent="0.3">
      <c r="B141" s="36" t="s">
        <v>92</v>
      </c>
      <c r="C141" s="32">
        <f t="shared" si="4"/>
        <v>1.4</v>
      </c>
      <c r="D141">
        <v>84</v>
      </c>
    </row>
    <row r="142" spans="2:4" x14ac:dyDescent="0.3">
      <c r="B142" s="36" t="s">
        <v>172</v>
      </c>
      <c r="C142" s="32">
        <f t="shared" si="4"/>
        <v>1.4</v>
      </c>
      <c r="D142">
        <v>84</v>
      </c>
    </row>
    <row r="143" spans="2:4" x14ac:dyDescent="0.3">
      <c r="B143" s="36" t="s">
        <v>109</v>
      </c>
      <c r="C143" s="32">
        <f t="shared" si="4"/>
        <v>1.3666666666666667</v>
      </c>
      <c r="D143">
        <v>82</v>
      </c>
    </row>
    <row r="144" spans="2:4" x14ac:dyDescent="0.3">
      <c r="B144" s="36" t="s">
        <v>204</v>
      </c>
      <c r="C144" s="32">
        <f t="shared" si="4"/>
        <v>1.3166666666666667</v>
      </c>
      <c r="D144">
        <v>79</v>
      </c>
    </row>
    <row r="145" spans="2:4" x14ac:dyDescent="0.3">
      <c r="B145" s="36" t="s">
        <v>128</v>
      </c>
      <c r="C145" s="32">
        <f t="shared" si="4"/>
        <v>1.25</v>
      </c>
      <c r="D145">
        <v>75</v>
      </c>
    </row>
    <row r="146" spans="2:4" x14ac:dyDescent="0.3">
      <c r="B146" s="36" t="s">
        <v>133</v>
      </c>
      <c r="C146" s="32">
        <f t="shared" si="4"/>
        <v>1.2333333333333334</v>
      </c>
      <c r="D146">
        <v>74</v>
      </c>
    </row>
    <row r="147" spans="2:4" x14ac:dyDescent="0.3">
      <c r="B147" s="36" t="s">
        <v>184</v>
      </c>
      <c r="C147" s="32">
        <f t="shared" si="4"/>
        <v>1.2333333333333334</v>
      </c>
      <c r="D147">
        <v>74</v>
      </c>
    </row>
    <row r="148" spans="2:4" x14ac:dyDescent="0.3">
      <c r="B148" s="36" t="s">
        <v>154</v>
      </c>
      <c r="C148" s="32">
        <f t="shared" si="4"/>
        <v>1.1833333333333333</v>
      </c>
      <c r="D148">
        <v>71</v>
      </c>
    </row>
    <row r="149" spans="2:4" x14ac:dyDescent="0.3">
      <c r="B149" s="36" t="s">
        <v>129</v>
      </c>
      <c r="C149" s="32">
        <f t="shared" si="4"/>
        <v>1.1666666666666667</v>
      </c>
      <c r="D149">
        <v>70</v>
      </c>
    </row>
    <row r="150" spans="2:4" x14ac:dyDescent="0.3">
      <c r="B150" s="36" t="s">
        <v>157</v>
      </c>
      <c r="C150" s="32">
        <f t="shared" si="4"/>
        <v>0.95</v>
      </c>
      <c r="D150">
        <v>57</v>
      </c>
    </row>
    <row r="151" spans="2:4" x14ac:dyDescent="0.3">
      <c r="B151" s="36" t="s">
        <v>119</v>
      </c>
      <c r="C151" s="32">
        <f t="shared" si="4"/>
        <v>0.7</v>
      </c>
      <c r="D151">
        <v>42</v>
      </c>
    </row>
    <row r="152" spans="2:4" x14ac:dyDescent="0.3">
      <c r="B152" s="36" t="s">
        <v>99</v>
      </c>
      <c r="C152" s="32">
        <f t="shared" si="4"/>
        <v>0.68333333333333335</v>
      </c>
      <c r="D152">
        <v>41</v>
      </c>
    </row>
    <row r="153" spans="2:4" x14ac:dyDescent="0.3">
      <c r="B153" s="36" t="s">
        <v>84</v>
      </c>
      <c r="C153" s="32">
        <f t="shared" si="4"/>
        <v>0.65</v>
      </c>
      <c r="D153">
        <v>39</v>
      </c>
    </row>
    <row r="154" spans="2:4" x14ac:dyDescent="0.3">
      <c r="B154" s="36" t="s">
        <v>212</v>
      </c>
      <c r="C154" s="32">
        <f t="shared" si="4"/>
        <v>0.6</v>
      </c>
      <c r="D154">
        <v>36</v>
      </c>
    </row>
    <row r="155" spans="2:4" x14ac:dyDescent="0.3">
      <c r="B155" s="36" t="s">
        <v>134</v>
      </c>
      <c r="C155" s="32">
        <f t="shared" si="4"/>
        <v>0.55000000000000004</v>
      </c>
      <c r="D155">
        <v>33</v>
      </c>
    </row>
    <row r="156" spans="2:4" x14ac:dyDescent="0.3">
      <c r="B156" s="36" t="s">
        <v>188</v>
      </c>
      <c r="C156" s="32">
        <f t="shared" si="4"/>
        <v>0.46666666666666667</v>
      </c>
      <c r="D156">
        <v>28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332E-838E-4CCE-8F42-6B340EB7A563}">
  <dimension ref="A1:L29"/>
  <sheetViews>
    <sheetView zoomScaleNormal="100" workbookViewId="0"/>
  </sheetViews>
  <sheetFormatPr baseColWidth="10" defaultColWidth="8.88671875" defaultRowHeight="14.4" x14ac:dyDescent="0.3"/>
  <cols>
    <col min="2" max="2" width="13.21875" bestFit="1" customWidth="1"/>
    <col min="3" max="3" width="10.21875" bestFit="1" customWidth="1"/>
    <col min="4" max="4" width="9.5546875" bestFit="1" customWidth="1"/>
    <col min="5" max="5" width="11" bestFit="1" customWidth="1"/>
    <col min="6" max="6" width="10.44140625" bestFit="1" customWidth="1"/>
    <col min="7" max="7" width="19.21875" bestFit="1" customWidth="1"/>
    <col min="8" max="8" width="20.44140625" bestFit="1" customWidth="1"/>
    <col min="9" max="9" width="27.44140625" bestFit="1" customWidth="1"/>
    <col min="10" max="10" width="13.44140625" bestFit="1" customWidth="1"/>
    <col min="11" max="11" width="14.21875" customWidth="1"/>
    <col min="12" max="12" width="17.77734375" bestFit="1" customWidth="1"/>
  </cols>
  <sheetData>
    <row r="1" spans="1:12" x14ac:dyDescent="0.3">
      <c r="A1" t="s">
        <v>223</v>
      </c>
    </row>
    <row r="2" spans="1:12" x14ac:dyDescent="0.3">
      <c r="B2" s="15" t="s">
        <v>9</v>
      </c>
      <c r="C2" s="16" t="s">
        <v>7</v>
      </c>
      <c r="D2" s="16" t="s">
        <v>6</v>
      </c>
      <c r="E2" s="16" t="s">
        <v>17</v>
      </c>
      <c r="F2" s="16" t="s">
        <v>18</v>
      </c>
      <c r="G2" s="16" t="s">
        <v>23</v>
      </c>
      <c r="H2" s="16" t="s">
        <v>22</v>
      </c>
      <c r="I2" s="16" t="s">
        <v>43</v>
      </c>
      <c r="J2" s="16" t="s">
        <v>24</v>
      </c>
      <c r="K2" s="16" t="s">
        <v>21</v>
      </c>
      <c r="L2" s="17" t="s">
        <v>42</v>
      </c>
    </row>
    <row r="3" spans="1:12" x14ac:dyDescent="0.3">
      <c r="B3" s="18" t="s">
        <v>10</v>
      </c>
      <c r="C3" s="5">
        <v>1020</v>
      </c>
      <c r="D3" s="6">
        <f>C3/C29</f>
        <v>3.0327357060030327E-2</v>
      </c>
      <c r="E3" s="5">
        <v>23456</v>
      </c>
      <c r="F3" s="6">
        <f>E3/E29</f>
        <v>2.9255783555096563E-2</v>
      </c>
      <c r="G3" s="5">
        <v>1838880</v>
      </c>
      <c r="H3" s="5">
        <f>G3*C3</f>
        <v>1875657600</v>
      </c>
      <c r="I3" s="6">
        <f>H3/H29</f>
        <v>1.9381221872821749E-2</v>
      </c>
      <c r="J3" s="5">
        <v>619618</v>
      </c>
      <c r="K3" s="5">
        <f>J3*C3</f>
        <v>632010360</v>
      </c>
      <c r="L3" s="1">
        <f>K3/K29</f>
        <v>1.5824897601222548E-2</v>
      </c>
    </row>
    <row r="4" spans="1:12" x14ac:dyDescent="0.3">
      <c r="B4" s="18" t="s">
        <v>11</v>
      </c>
      <c r="C4" s="5">
        <v>1177</v>
      </c>
      <c r="D4" s="6">
        <f>C4/C29</f>
        <v>3.4995391431034993E-2</v>
      </c>
      <c r="E4" s="5">
        <v>23337</v>
      </c>
      <c r="F4" s="6">
        <f>E4/E29</f>
        <v>2.9107359346235016E-2</v>
      </c>
      <c r="G4" s="5">
        <v>2438853</v>
      </c>
      <c r="H4" s="5">
        <f t="shared" ref="H4:H28" si="0">G4*C4</f>
        <v>2870529981</v>
      </c>
      <c r="I4" s="6">
        <f>H4/H29</f>
        <v>2.9661265709875727E-2</v>
      </c>
      <c r="J4" s="5">
        <v>1261753</v>
      </c>
      <c r="K4" s="5">
        <f t="shared" ref="K4:K28" si="1">J4*C4</f>
        <v>1485083281</v>
      </c>
      <c r="L4" s="1">
        <f>K4/K29</f>
        <v>3.7184977238525985E-2</v>
      </c>
    </row>
    <row r="5" spans="1:12" x14ac:dyDescent="0.3">
      <c r="B5" s="18" t="s">
        <v>12</v>
      </c>
      <c r="C5" s="5">
        <v>2159</v>
      </c>
      <c r="D5" s="6">
        <f>C5/C29</f>
        <v>6.4192905777064199E-2</v>
      </c>
      <c r="E5" s="5">
        <v>79129</v>
      </c>
      <c r="F5" s="6">
        <f>E5/E29</f>
        <v>9.8694615319373971E-2</v>
      </c>
      <c r="G5" s="5">
        <v>4666982</v>
      </c>
      <c r="H5" s="5">
        <f t="shared" si="0"/>
        <v>10076014138</v>
      </c>
      <c r="I5" s="6">
        <f>H5/H29</f>
        <v>0.10411573285138333</v>
      </c>
      <c r="J5" s="5">
        <v>1865210</v>
      </c>
      <c r="K5" s="5">
        <f t="shared" si="1"/>
        <v>4026988390</v>
      </c>
      <c r="L5" s="1">
        <f>K5/K29</f>
        <v>0.10083169983647429</v>
      </c>
    </row>
    <row r="6" spans="1:12" x14ac:dyDescent="0.3">
      <c r="B6" s="18" t="s">
        <v>13</v>
      </c>
      <c r="C6" s="5">
        <v>2899</v>
      </c>
      <c r="D6" s="6">
        <f>C6/C29</f>
        <v>8.6195105997086199E-2</v>
      </c>
      <c r="E6" s="5">
        <v>91284</v>
      </c>
      <c r="F6" s="6">
        <f>E6/E29</f>
        <v>0.11385508808166075</v>
      </c>
      <c r="G6" s="5">
        <v>793875</v>
      </c>
      <c r="H6" s="5">
        <f t="shared" si="0"/>
        <v>2301443625</v>
      </c>
      <c r="I6" s="6">
        <f>H6/H29</f>
        <v>2.3780880648960757E-2</v>
      </c>
      <c r="J6" s="5">
        <v>467106</v>
      </c>
      <c r="K6" s="5">
        <f t="shared" si="1"/>
        <v>1354140294</v>
      </c>
      <c r="L6" s="1">
        <f>K6/K29</f>
        <v>3.3906297818028487E-2</v>
      </c>
    </row>
    <row r="7" spans="1:12" x14ac:dyDescent="0.3">
      <c r="B7" s="18" t="s">
        <v>14</v>
      </c>
      <c r="C7" s="5">
        <v>1864</v>
      </c>
      <c r="D7" s="6">
        <f>C7/C29</f>
        <v>5.5421758392055424E-2</v>
      </c>
      <c r="E7" s="5">
        <v>46857</v>
      </c>
      <c r="F7" s="6">
        <f>E7/E29</f>
        <v>5.8442967685929388E-2</v>
      </c>
      <c r="G7" s="5">
        <v>4468228</v>
      </c>
      <c r="H7" s="5">
        <f t="shared" si="0"/>
        <v>8328776992</v>
      </c>
      <c r="I7" s="6">
        <f>H7/H29</f>
        <v>8.6061483082629231E-2</v>
      </c>
      <c r="J7" s="5">
        <v>1556334</v>
      </c>
      <c r="K7" s="5">
        <f t="shared" si="1"/>
        <v>2901006576</v>
      </c>
      <c r="L7" s="1">
        <f>K7/K29</f>
        <v>7.263825866030621E-2</v>
      </c>
    </row>
    <row r="8" spans="1:12" x14ac:dyDescent="0.3">
      <c r="B8" s="18" t="s">
        <v>15</v>
      </c>
      <c r="C8" s="5">
        <v>4174</v>
      </c>
      <c r="D8" s="6">
        <f>C8/C29</f>
        <v>0.1241043023221241</v>
      </c>
      <c r="E8" s="5">
        <v>71267</v>
      </c>
      <c r="F8" s="6">
        <f>E8/E29</f>
        <v>8.8888639436437017E-2</v>
      </c>
      <c r="G8" s="5">
        <v>1166003</v>
      </c>
      <c r="H8" s="5">
        <f t="shared" si="0"/>
        <v>4866896522</v>
      </c>
      <c r="I8" s="6">
        <f>H8/H29</f>
        <v>5.02897764095891E-2</v>
      </c>
      <c r="J8" s="5">
        <v>673551</v>
      </c>
      <c r="K8" s="5">
        <f t="shared" si="1"/>
        <v>2811401874</v>
      </c>
      <c r="L8" s="1">
        <f>K8/K29</f>
        <v>7.0394647916744879E-2</v>
      </c>
    </row>
    <row r="9" spans="1:12" x14ac:dyDescent="0.3">
      <c r="B9" s="18" t="s">
        <v>16</v>
      </c>
      <c r="C9" s="5">
        <v>52</v>
      </c>
      <c r="D9" s="6">
        <f>C9/C29</f>
        <v>1.5461005560015461E-3</v>
      </c>
      <c r="E9" s="5">
        <v>9415</v>
      </c>
      <c r="F9" s="6">
        <f>E9/E29</f>
        <v>1.1742974171693133E-2</v>
      </c>
      <c r="G9" s="5">
        <v>50916819</v>
      </c>
      <c r="H9" s="5">
        <f t="shared" si="0"/>
        <v>2647674588</v>
      </c>
      <c r="I9" s="6">
        <f>H9/H29</f>
        <v>2.7358494768480089E-2</v>
      </c>
      <c r="J9" s="5">
        <v>23980525</v>
      </c>
      <c r="K9" s="5">
        <f t="shared" si="1"/>
        <v>1246987300</v>
      </c>
      <c r="L9" s="1">
        <f>K9/K29</f>
        <v>3.1223295663262519E-2</v>
      </c>
    </row>
    <row r="10" spans="1:12" x14ac:dyDescent="0.3">
      <c r="B10" s="18" t="s">
        <v>19</v>
      </c>
      <c r="C10" s="5">
        <v>1542</v>
      </c>
      <c r="D10" s="6">
        <f>C10/C29</f>
        <v>4.5847828026045846E-2</v>
      </c>
      <c r="E10" s="5">
        <v>27771</v>
      </c>
      <c r="F10" s="6">
        <f>E10/E29</f>
        <v>3.4637720204151887E-2</v>
      </c>
      <c r="G10" s="5">
        <v>3849849</v>
      </c>
      <c r="H10" s="5">
        <f t="shared" si="0"/>
        <v>5936467158</v>
      </c>
      <c r="I10" s="6">
        <f>H10/H29</f>
        <v>6.1341679382163131E-2</v>
      </c>
      <c r="J10" s="5">
        <v>1598555</v>
      </c>
      <c r="K10" s="5">
        <f t="shared" si="1"/>
        <v>2464971810</v>
      </c>
      <c r="L10" s="1">
        <f>K10/K29</f>
        <v>6.1720390917563768E-2</v>
      </c>
    </row>
    <row r="11" spans="1:12" x14ac:dyDescent="0.3">
      <c r="B11" s="18" t="s">
        <v>20</v>
      </c>
      <c r="C11" s="5">
        <v>561</v>
      </c>
      <c r="D11" s="6">
        <f>C11/C29</f>
        <v>1.6680046383016681E-2</v>
      </c>
      <c r="E11" s="5">
        <v>12843</v>
      </c>
      <c r="F11" s="6">
        <f>E11/E29</f>
        <v>1.6018589196713215E-2</v>
      </c>
      <c r="G11" s="5">
        <v>4046474</v>
      </c>
      <c r="H11" s="5">
        <f t="shared" si="0"/>
        <v>2270071914</v>
      </c>
      <c r="I11" s="6">
        <f>H11/H29</f>
        <v>2.3456715891266688E-2</v>
      </c>
      <c r="J11" s="5">
        <v>1218359</v>
      </c>
      <c r="K11" s="5">
        <f t="shared" si="1"/>
        <v>683499399</v>
      </c>
      <c r="L11" s="1">
        <f>K11/K29</f>
        <v>1.7114130850121118E-2</v>
      </c>
    </row>
    <row r="12" spans="1:12" x14ac:dyDescent="0.3">
      <c r="B12" s="18" t="s">
        <v>25</v>
      </c>
      <c r="C12" s="5">
        <v>999</v>
      </c>
      <c r="D12" s="6">
        <f>C12/C29</f>
        <v>2.9702970297029702E-2</v>
      </c>
      <c r="E12" s="5">
        <v>5448</v>
      </c>
      <c r="F12" s="6">
        <f>E12/E29</f>
        <v>6.7950847888883902E-3</v>
      </c>
      <c r="G12" s="5">
        <v>270781</v>
      </c>
      <c r="H12" s="5">
        <f t="shared" si="0"/>
        <v>270510219</v>
      </c>
      <c r="I12" s="6">
        <f>H12/H29</f>
        <v>2.7951895768740529E-3</v>
      </c>
      <c r="J12" s="5">
        <v>124925</v>
      </c>
      <c r="K12" s="5">
        <f t="shared" si="1"/>
        <v>124800075</v>
      </c>
      <c r="L12" s="1">
        <f>K12/K29</f>
        <v>3.1248671422093371E-3</v>
      </c>
    </row>
    <row r="13" spans="1:12" x14ac:dyDescent="0.3">
      <c r="B13" s="18" t="s">
        <v>26</v>
      </c>
      <c r="C13" s="5">
        <v>7286</v>
      </c>
      <c r="D13" s="6">
        <f>C13/C29</f>
        <v>0.21663247405821665</v>
      </c>
      <c r="E13" s="5">
        <v>92482</v>
      </c>
      <c r="F13" s="6">
        <f>E13/E29</f>
        <v>0.11534930826835096</v>
      </c>
      <c r="G13" s="5">
        <v>2583798</v>
      </c>
      <c r="H13" s="5">
        <f t="shared" si="0"/>
        <v>18825552228</v>
      </c>
      <c r="I13" s="6">
        <f>H13/H29</f>
        <v>0.19452495200044073</v>
      </c>
      <c r="J13" s="5">
        <v>578820</v>
      </c>
      <c r="K13" s="5">
        <f t="shared" si="1"/>
        <v>4217282520</v>
      </c>
      <c r="L13" s="1">
        <f>K13/K29</f>
        <v>0.10559647160598093</v>
      </c>
    </row>
    <row r="14" spans="1:12" x14ac:dyDescent="0.3">
      <c r="B14" s="18" t="s">
        <v>27</v>
      </c>
      <c r="C14" s="5">
        <v>57</v>
      </c>
      <c r="D14" s="6">
        <f>C14/C29</f>
        <v>1.6947640710016948E-3</v>
      </c>
      <c r="E14" s="5">
        <v>114</v>
      </c>
      <c r="F14" s="6">
        <f>E14/E29</f>
        <v>1.4218789756484517E-4</v>
      </c>
      <c r="G14" s="5">
        <v>495810</v>
      </c>
      <c r="H14" s="5">
        <f t="shared" si="0"/>
        <v>28261170</v>
      </c>
      <c r="I14" s="6">
        <f>H14/H29</f>
        <v>2.9202345148471336E-4</v>
      </c>
      <c r="J14" s="5">
        <v>172010</v>
      </c>
      <c r="K14" s="5">
        <f t="shared" si="1"/>
        <v>9804570</v>
      </c>
      <c r="L14" s="1">
        <f>K14/K29</f>
        <v>2.4549647615589493E-4</v>
      </c>
    </row>
    <row r="15" spans="1:12" x14ac:dyDescent="0.3">
      <c r="B15" s="18" t="s">
        <v>28</v>
      </c>
      <c r="C15" s="5">
        <v>1070</v>
      </c>
      <c r="D15" s="6">
        <f>C15/C29</f>
        <v>3.1813992210031811E-2</v>
      </c>
      <c r="E15" s="5">
        <v>27749</v>
      </c>
      <c r="F15" s="6">
        <f>E15/E29</f>
        <v>3.4610280434446389E-2</v>
      </c>
      <c r="G15" s="5">
        <v>3287994</v>
      </c>
      <c r="H15" s="5">
        <f t="shared" si="0"/>
        <v>3518153580</v>
      </c>
      <c r="I15" s="6">
        <f>H15/H29</f>
        <v>3.6353178275524353E-2</v>
      </c>
      <c r="J15" s="5">
        <v>1841947</v>
      </c>
      <c r="K15" s="5">
        <f t="shared" si="1"/>
        <v>1970883290</v>
      </c>
      <c r="L15" s="1">
        <f>K15/K29</f>
        <v>4.9348916128859985E-2</v>
      </c>
    </row>
    <row r="16" spans="1:12" x14ac:dyDescent="0.3">
      <c r="B16" s="18" t="s">
        <v>29</v>
      </c>
      <c r="C16" s="5">
        <v>779</v>
      </c>
      <c r="D16" s="6">
        <f>C16/C29</f>
        <v>2.3161775637023162E-2</v>
      </c>
      <c r="E16" s="5">
        <v>6351</v>
      </c>
      <c r="F16" s="6">
        <f>E16/E29</f>
        <v>7.9213626090730849E-3</v>
      </c>
      <c r="G16" s="5">
        <v>431215</v>
      </c>
      <c r="H16" s="5">
        <f t="shared" si="0"/>
        <v>335916485</v>
      </c>
      <c r="I16" s="6">
        <f>H16/H29</f>
        <v>3.4710343329845488E-3</v>
      </c>
      <c r="J16" s="5">
        <v>223807</v>
      </c>
      <c r="K16" s="5">
        <f t="shared" si="1"/>
        <v>174345653</v>
      </c>
      <c r="L16" s="1">
        <f>K16/K29</f>
        <v>4.3654381012730222E-3</v>
      </c>
    </row>
    <row r="17" spans="2:12" x14ac:dyDescent="0.3">
      <c r="B17" s="18" t="s">
        <v>30</v>
      </c>
      <c r="C17" s="5">
        <v>1023</v>
      </c>
      <c r="D17" s="6">
        <f>C17/C29</f>
        <v>3.0416555169030416E-2</v>
      </c>
      <c r="E17" s="5">
        <v>16200</v>
      </c>
      <c r="F17" s="6">
        <f>E17/E29</f>
        <v>2.0205648601320101E-2</v>
      </c>
      <c r="G17" s="5">
        <v>1676297</v>
      </c>
      <c r="H17" s="5">
        <f t="shared" si="0"/>
        <v>1714851831</v>
      </c>
      <c r="I17" s="6">
        <f>H17/H29</f>
        <v>1.7719611412885607E-2</v>
      </c>
      <c r="J17" s="5">
        <v>987705</v>
      </c>
      <c r="K17" s="5">
        <f t="shared" si="1"/>
        <v>1010422215</v>
      </c>
      <c r="L17" s="1">
        <f>K17/K29</f>
        <v>2.5299946169198041E-2</v>
      </c>
    </row>
    <row r="18" spans="2:12" x14ac:dyDescent="0.3">
      <c r="B18" s="18" t="s">
        <v>31</v>
      </c>
      <c r="C18" s="5">
        <v>1294</v>
      </c>
      <c r="D18" s="6">
        <f>C18/C29</f>
        <v>3.8474117682038476E-2</v>
      </c>
      <c r="E18" s="5">
        <v>7042</v>
      </c>
      <c r="F18" s="6">
        <f>E18/E29</f>
        <v>8.7832208302775407E-3</v>
      </c>
      <c r="G18" s="5">
        <v>1013733</v>
      </c>
      <c r="H18" s="5">
        <f t="shared" si="0"/>
        <v>1311770502</v>
      </c>
      <c r="I18" s="6">
        <f>H18/H29</f>
        <v>1.3554560888663671E-2</v>
      </c>
      <c r="J18" s="5">
        <v>426945</v>
      </c>
      <c r="K18" s="5">
        <f t="shared" si="1"/>
        <v>552466830</v>
      </c>
      <c r="L18" s="1">
        <f>K18/K29</f>
        <v>1.3833208387315084E-2</v>
      </c>
    </row>
    <row r="19" spans="2:12" x14ac:dyDescent="0.3">
      <c r="B19" s="18" t="s">
        <v>32</v>
      </c>
      <c r="C19" s="5">
        <v>1294</v>
      </c>
      <c r="D19" s="6">
        <f>C19/C29</f>
        <v>3.8474117682038476E-2</v>
      </c>
      <c r="E19" s="5">
        <v>77142</v>
      </c>
      <c r="F19" s="6">
        <f>E19/E29</f>
        <v>9.6216305210063913E-2</v>
      </c>
      <c r="G19" s="5">
        <v>7658457</v>
      </c>
      <c r="H19" s="5">
        <f t="shared" si="0"/>
        <v>9910043358</v>
      </c>
      <c r="I19" s="6">
        <f>H19/H29</f>
        <v>0.10240075218988877</v>
      </c>
      <c r="J19" s="5">
        <v>3629644</v>
      </c>
      <c r="K19" s="5">
        <f t="shared" si="1"/>
        <v>4696759336</v>
      </c>
      <c r="L19" s="1">
        <f>K19/K29</f>
        <v>0.11760208416486403</v>
      </c>
    </row>
    <row r="20" spans="2:12" x14ac:dyDescent="0.3">
      <c r="B20" s="18" t="s">
        <v>33</v>
      </c>
      <c r="C20" s="5">
        <v>1327</v>
      </c>
      <c r="D20" s="6">
        <f>C20/C29</f>
        <v>3.9455296881039457E-2</v>
      </c>
      <c r="E20" s="5">
        <v>32173</v>
      </c>
      <c r="F20" s="6">
        <f>E20/E29</f>
        <v>4.0128168669769856E-2</v>
      </c>
      <c r="G20" s="5">
        <v>3082408</v>
      </c>
      <c r="H20" s="5">
        <f t="shared" si="0"/>
        <v>4090355416</v>
      </c>
      <c r="I20" s="6">
        <f>H20/H29</f>
        <v>4.2265755677472323E-2</v>
      </c>
      <c r="J20" s="5">
        <v>1247529</v>
      </c>
      <c r="K20" s="5">
        <f t="shared" si="1"/>
        <v>1655470983</v>
      </c>
      <c r="L20" s="1">
        <f>K20/K29</f>
        <v>4.1451312266099938E-2</v>
      </c>
    </row>
    <row r="21" spans="2:12" x14ac:dyDescent="0.3">
      <c r="B21" s="18" t="s">
        <v>34</v>
      </c>
      <c r="C21" s="5">
        <v>23</v>
      </c>
      <c r="D21" s="6">
        <f>C21/C29</f>
        <v>6.8385216900068387E-4</v>
      </c>
      <c r="E21" s="5">
        <v>52</v>
      </c>
      <c r="F21" s="6">
        <f>E21/E29</f>
        <v>6.4857637485718841E-5</v>
      </c>
      <c r="G21" s="5">
        <v>541371</v>
      </c>
      <c r="H21" s="5">
        <f t="shared" si="0"/>
        <v>12451533</v>
      </c>
      <c r="I21" s="6">
        <f>H21/H29</f>
        <v>1.286620349736337E-4</v>
      </c>
      <c r="J21" s="5">
        <v>85896</v>
      </c>
      <c r="K21" s="5">
        <f t="shared" si="1"/>
        <v>1975608</v>
      </c>
      <c r="L21" s="1">
        <f>K21/K29</f>
        <v>4.9467218069267219E-5</v>
      </c>
    </row>
    <row r="22" spans="2:12" x14ac:dyDescent="0.3">
      <c r="B22" s="18" t="s">
        <v>35</v>
      </c>
      <c r="C22" s="5">
        <v>627</v>
      </c>
      <c r="D22" s="6">
        <f>C22/C29</f>
        <v>1.8642404781018643E-2</v>
      </c>
      <c r="E22" s="5">
        <v>12178</v>
      </c>
      <c r="F22" s="6">
        <f>E22/E29</f>
        <v>1.5189159794251618E-2</v>
      </c>
      <c r="G22" s="5">
        <v>5993710</v>
      </c>
      <c r="H22" s="5">
        <f t="shared" si="0"/>
        <v>3758056170</v>
      </c>
      <c r="I22" s="6">
        <f>H22/H29</f>
        <v>3.8832098375149462E-2</v>
      </c>
      <c r="J22" s="5">
        <v>1872198</v>
      </c>
      <c r="K22" s="5">
        <f t="shared" si="1"/>
        <v>1173868146</v>
      </c>
      <c r="L22" s="1">
        <f>K22/K29</f>
        <v>2.9392466300373558E-2</v>
      </c>
    </row>
    <row r="23" spans="2:12" x14ac:dyDescent="0.3">
      <c r="B23" s="18" t="s">
        <v>36</v>
      </c>
      <c r="C23" s="5">
        <v>328</v>
      </c>
      <c r="D23" s="6">
        <f>C23/C29</f>
        <v>9.7523265840097524E-3</v>
      </c>
      <c r="E23" s="5">
        <v>15676</v>
      </c>
      <c r="F23" s="6">
        <f>E23/E29</f>
        <v>1.9552083177425551E-2</v>
      </c>
      <c r="G23" s="5">
        <v>3581801</v>
      </c>
      <c r="H23" s="5">
        <f t="shared" si="0"/>
        <v>1174830728</v>
      </c>
      <c r="I23" s="6">
        <f>H23/H29</f>
        <v>1.2139558415340146E-2</v>
      </c>
      <c r="J23" s="5">
        <v>1758236</v>
      </c>
      <c r="K23" s="5">
        <f t="shared" si="1"/>
        <v>576701408</v>
      </c>
      <c r="L23" s="1">
        <f>K23/K29</f>
        <v>1.4440017609965865E-2</v>
      </c>
    </row>
    <row r="24" spans="2:12" x14ac:dyDescent="0.3">
      <c r="B24" s="18" t="s">
        <v>37</v>
      </c>
      <c r="C24" s="5">
        <v>18</v>
      </c>
      <c r="D24" s="6">
        <f>C24/C29</f>
        <v>5.3518865400053518E-4</v>
      </c>
      <c r="E24" s="5">
        <v>33051</v>
      </c>
      <c r="F24" s="6">
        <f>E24/E29</f>
        <v>4.1223264933471032E-2</v>
      </c>
      <c r="G24" s="5">
        <v>336201252</v>
      </c>
      <c r="H24" s="5">
        <f t="shared" si="0"/>
        <v>6051622536</v>
      </c>
      <c r="I24" s="6">
        <f>H24/H29</f>
        <v>6.2531583088930642E-2</v>
      </c>
      <c r="J24" s="5">
        <v>84552935</v>
      </c>
      <c r="K24" s="5">
        <f t="shared" si="1"/>
        <v>1521952830</v>
      </c>
      <c r="L24" s="1">
        <f>K24/K29</f>
        <v>3.8108153304070636E-2</v>
      </c>
    </row>
    <row r="25" spans="2:12" x14ac:dyDescent="0.3">
      <c r="B25" s="18" t="s">
        <v>38</v>
      </c>
      <c r="C25" s="5">
        <v>57</v>
      </c>
      <c r="D25" s="6">
        <f>C25/C29</f>
        <v>1.6947640710016948E-3</v>
      </c>
      <c r="E25" s="5">
        <v>27375</v>
      </c>
      <c r="F25" s="6">
        <f>E25/E29</f>
        <v>3.4143804349452953E-2</v>
      </c>
      <c r="G25" s="5">
        <v>49284211</v>
      </c>
      <c r="H25" s="5">
        <f t="shared" si="0"/>
        <v>2809200027</v>
      </c>
      <c r="I25" s="6">
        <f>H25/H29</f>
        <v>2.9027541598436651E-2</v>
      </c>
      <c r="J25" s="5">
        <v>65310639</v>
      </c>
      <c r="K25" s="5">
        <f t="shared" si="1"/>
        <v>3722706423</v>
      </c>
      <c r="L25" s="1">
        <f>K25/K29</f>
        <v>9.3212788384336734E-2</v>
      </c>
    </row>
    <row r="26" spans="2:12" x14ac:dyDescent="0.3">
      <c r="B26" s="18" t="s">
        <v>39</v>
      </c>
      <c r="C26" s="5">
        <v>1447</v>
      </c>
      <c r="D26" s="6">
        <f>C26/C29</f>
        <v>4.3023221241043026E-2</v>
      </c>
      <c r="E26" s="5">
        <v>37570</v>
      </c>
      <c r="F26" s="6">
        <f>E26/E29</f>
        <v>4.6859643083431865E-2</v>
      </c>
      <c r="G26" s="5">
        <v>429787</v>
      </c>
      <c r="H26" s="5">
        <f t="shared" si="0"/>
        <v>621901789</v>
      </c>
      <c r="I26" s="6">
        <f>H26/H29</f>
        <v>6.4261283912979521E-3</v>
      </c>
      <c r="J26" s="5">
        <v>223976</v>
      </c>
      <c r="K26" s="5">
        <f t="shared" si="1"/>
        <v>324093272</v>
      </c>
      <c r="L26" s="1">
        <f>K26/K29</f>
        <v>8.1149664107486585E-3</v>
      </c>
    </row>
    <row r="27" spans="2:12" x14ac:dyDescent="0.3">
      <c r="B27" s="18" t="s">
        <v>40</v>
      </c>
      <c r="C27" s="5">
        <v>271</v>
      </c>
      <c r="D27" s="6">
        <f>C27/C29</f>
        <v>8.0575625130080569E-3</v>
      </c>
      <c r="E27" s="5">
        <v>6984</v>
      </c>
      <c r="F27" s="6">
        <f>E27/E29</f>
        <v>8.7108796192357767E-3</v>
      </c>
      <c r="G27" s="5">
        <v>2186617</v>
      </c>
      <c r="H27" s="5">
        <f t="shared" si="0"/>
        <v>592573207</v>
      </c>
      <c r="I27" s="6">
        <f>H27/H29</f>
        <v>6.1230753420861731E-3</v>
      </c>
      <c r="J27" s="5">
        <v>1141024</v>
      </c>
      <c r="K27" s="5">
        <f t="shared" si="1"/>
        <v>309217504</v>
      </c>
      <c r="L27" s="1">
        <f>K27/K29</f>
        <v>7.7424922865277461E-3</v>
      </c>
    </row>
    <row r="28" spans="2:12" x14ac:dyDescent="0.3">
      <c r="B28" s="19" t="s">
        <v>41</v>
      </c>
      <c r="C28" s="7">
        <v>285</v>
      </c>
      <c r="D28" s="8">
        <f>C28/C29</f>
        <v>8.473820355008474E-3</v>
      </c>
      <c r="E28" s="7">
        <v>18810</v>
      </c>
      <c r="F28" s="8">
        <f>E28/E29</f>
        <v>2.3461003098199453E-2</v>
      </c>
      <c r="G28" s="7">
        <v>2026221</v>
      </c>
      <c r="H28" s="7">
        <f t="shared" si="0"/>
        <v>577472985</v>
      </c>
      <c r="I28" s="8">
        <f>H28/H29</f>
        <v>5.9670443303967988E-3</v>
      </c>
      <c r="J28" s="7">
        <v>1013621</v>
      </c>
      <c r="K28" s="7">
        <f t="shared" si="1"/>
        <v>288881985</v>
      </c>
      <c r="L28" s="9">
        <f>K28/K29</f>
        <v>7.2333115417014815E-3</v>
      </c>
    </row>
    <row r="29" spans="2:12" x14ac:dyDescent="0.3">
      <c r="B29" s="19" t="s">
        <v>0</v>
      </c>
      <c r="C29" s="7">
        <f>SUM(C3:C28)</f>
        <v>33633</v>
      </c>
      <c r="D29" s="8">
        <f>SUM(D3:D28)</f>
        <v>0.99999999999999978</v>
      </c>
      <c r="E29" s="7">
        <f>SUM(E3:E28)</f>
        <v>801756</v>
      </c>
      <c r="F29" s="8">
        <f>SUM(F3:F28)</f>
        <v>0.99999999999999989</v>
      </c>
      <c r="G29" s="7">
        <f>AVERAGE(G3:G28)</f>
        <v>19035824.076923076</v>
      </c>
      <c r="H29" s="7">
        <f>SUM(H3:H28)</f>
        <v>96777056282</v>
      </c>
      <c r="I29" s="8">
        <f>SUM(I3:I28)</f>
        <v>1</v>
      </c>
      <c r="J29" s="7">
        <f>AVERAGE(J3:J28)</f>
        <v>7632033.384615385</v>
      </c>
      <c r="K29" s="7">
        <f>SUM(K3:K28)</f>
        <v>39937721932</v>
      </c>
      <c r="L29" s="9">
        <f>SUM(L3:L28)</f>
        <v>1.0000000000000002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F4F5-DB7F-4AEC-AE88-D469A39831A3}">
  <dimension ref="A1:L29"/>
  <sheetViews>
    <sheetView zoomScale="85" zoomScaleNormal="85" workbookViewId="0">
      <selection activeCell="B8" sqref="B8"/>
    </sheetView>
  </sheetViews>
  <sheetFormatPr baseColWidth="10" defaultColWidth="8.88671875" defaultRowHeight="14.4" x14ac:dyDescent="0.3"/>
  <cols>
    <col min="2" max="2" width="13.21875" bestFit="1" customWidth="1"/>
    <col min="3" max="3" width="9.21875" bestFit="1" customWidth="1"/>
    <col min="4" max="4" width="9.5546875" bestFit="1" customWidth="1"/>
    <col min="5" max="5" width="10.21875" bestFit="1" customWidth="1"/>
    <col min="6" max="6" width="10.44140625" bestFit="1" customWidth="1"/>
    <col min="7" max="7" width="19.21875" bestFit="1" customWidth="1"/>
    <col min="8" max="8" width="20.44140625" bestFit="1" customWidth="1"/>
    <col min="9" max="9" width="27.44140625" bestFit="1" customWidth="1"/>
    <col min="10" max="10" width="11" bestFit="1" customWidth="1"/>
    <col min="11" max="11" width="14.44140625" customWidth="1"/>
    <col min="12" max="12" width="17.77734375" bestFit="1" customWidth="1"/>
  </cols>
  <sheetData>
    <row r="1" spans="1:12" x14ac:dyDescent="0.3">
      <c r="A1" t="s">
        <v>223</v>
      </c>
    </row>
    <row r="2" spans="1:12" x14ac:dyDescent="0.3">
      <c r="B2" s="14" t="s">
        <v>9</v>
      </c>
      <c r="C2" s="2" t="s">
        <v>7</v>
      </c>
      <c r="D2" s="2" t="s">
        <v>6</v>
      </c>
      <c r="E2" s="2" t="s">
        <v>17</v>
      </c>
      <c r="F2" s="2" t="s">
        <v>18</v>
      </c>
      <c r="G2" s="2" t="s">
        <v>23</v>
      </c>
      <c r="H2" s="2" t="s">
        <v>22</v>
      </c>
      <c r="I2" s="2" t="s">
        <v>43</v>
      </c>
      <c r="J2" s="2" t="s">
        <v>24</v>
      </c>
      <c r="K2" s="2" t="s">
        <v>21</v>
      </c>
      <c r="L2" s="3" t="s">
        <v>42</v>
      </c>
    </row>
    <row r="3" spans="1:12" x14ac:dyDescent="0.3">
      <c r="B3" s="4" t="s">
        <v>10</v>
      </c>
      <c r="C3" s="5">
        <v>546</v>
      </c>
      <c r="D3" s="6">
        <f>C3/C29</f>
        <v>3.7474262182566921E-2</v>
      </c>
      <c r="E3" s="5">
        <v>2562</v>
      </c>
      <c r="F3" s="6">
        <f>E3/E29</f>
        <v>3.6855885145438326E-2</v>
      </c>
      <c r="G3" s="5">
        <v>467592</v>
      </c>
      <c r="H3" s="5">
        <f>G3*C3</f>
        <v>255305232</v>
      </c>
      <c r="I3" s="6">
        <f>H3/H29</f>
        <v>2.7006390406115171E-2</v>
      </c>
      <c r="J3" s="5">
        <v>168628</v>
      </c>
      <c r="K3" s="5">
        <f>J3*C3</f>
        <v>92070888</v>
      </c>
      <c r="L3" s="1">
        <f>K3/K29</f>
        <v>3.1054233187445168E-2</v>
      </c>
    </row>
    <row r="4" spans="1:12" x14ac:dyDescent="0.3">
      <c r="B4" s="4" t="s">
        <v>11</v>
      </c>
      <c r="C4" s="5">
        <v>588</v>
      </c>
      <c r="D4" s="6">
        <f>C4/C29</f>
        <v>4.0356897735072068E-2</v>
      </c>
      <c r="E4" s="5">
        <v>2431</v>
      </c>
      <c r="F4" s="6">
        <f>E4/E29</f>
        <v>3.4971372673130594E-2</v>
      </c>
      <c r="G4" s="5">
        <v>901224</v>
      </c>
      <c r="H4" s="5">
        <f t="shared" ref="H4:H28" si="0">G4*C4</f>
        <v>529919712</v>
      </c>
      <c r="I4" s="6">
        <f>H4/H29</f>
        <v>5.6055328416333101E-2</v>
      </c>
      <c r="J4" s="5">
        <v>313556</v>
      </c>
      <c r="K4" s="5">
        <f t="shared" ref="K4:K28" si="1">J4*C4</f>
        <v>184370928</v>
      </c>
      <c r="L4" s="1">
        <f>K4/K29</f>
        <v>6.2185756165376214E-2</v>
      </c>
    </row>
    <row r="5" spans="1:12" x14ac:dyDescent="0.3">
      <c r="B5" s="4" t="s">
        <v>12</v>
      </c>
      <c r="C5" s="5">
        <v>1170</v>
      </c>
      <c r="D5" s="6">
        <f>C5/C29</f>
        <v>8.0301990391214828E-2</v>
      </c>
      <c r="E5" s="5">
        <v>5911</v>
      </c>
      <c r="F5" s="6">
        <f>E5/E29</f>
        <v>8.5033230716114738E-2</v>
      </c>
      <c r="G5" s="5">
        <v>571131</v>
      </c>
      <c r="H5" s="5">
        <f t="shared" si="0"/>
        <v>668223270</v>
      </c>
      <c r="I5" s="6">
        <f>H5/H29</f>
        <v>7.0685188731545098E-2</v>
      </c>
      <c r="J5" s="5">
        <v>180686</v>
      </c>
      <c r="K5" s="5">
        <f t="shared" si="1"/>
        <v>211402620</v>
      </c>
      <c r="L5" s="1">
        <f>K5/K29</f>
        <v>7.1303170855882905E-2</v>
      </c>
    </row>
    <row r="6" spans="1:12" x14ac:dyDescent="0.3">
      <c r="B6" s="4" t="s">
        <v>13</v>
      </c>
      <c r="C6" s="5">
        <v>1513</v>
      </c>
      <c r="D6" s="6">
        <f>C6/C29</f>
        <v>0.10384351407000686</v>
      </c>
      <c r="E6" s="5">
        <v>8847</v>
      </c>
      <c r="F6" s="6">
        <f>E6/E29</f>
        <v>0.1272693270420347</v>
      </c>
      <c r="G6" s="5">
        <v>236424</v>
      </c>
      <c r="H6" s="5">
        <f t="shared" si="0"/>
        <v>357709512</v>
      </c>
      <c r="I6" s="6">
        <f>H6/H29</f>
        <v>3.7838796554913297E-2</v>
      </c>
      <c r="J6" s="5">
        <v>96290</v>
      </c>
      <c r="K6" s="5">
        <f t="shared" si="1"/>
        <v>145686770</v>
      </c>
      <c r="L6" s="1">
        <f>K6/K29</f>
        <v>4.9138126352226461E-2</v>
      </c>
    </row>
    <row r="7" spans="1:12" x14ac:dyDescent="0.3">
      <c r="B7" s="4" t="s">
        <v>14</v>
      </c>
      <c r="C7" s="5">
        <v>951</v>
      </c>
      <c r="D7" s="6">
        <f>C7/C29</f>
        <v>6.5271105010295122E-2</v>
      </c>
      <c r="E7" s="5">
        <v>4509</v>
      </c>
      <c r="F7" s="6">
        <f>E7/E29</f>
        <v>6.4864631585004454E-2</v>
      </c>
      <c r="G7" s="5">
        <v>1281553</v>
      </c>
      <c r="H7" s="5">
        <f t="shared" si="0"/>
        <v>1218756903</v>
      </c>
      <c r="I7" s="6">
        <f>H7/H29</f>
        <v>0.12892107409912321</v>
      </c>
      <c r="J7" s="5">
        <v>337779</v>
      </c>
      <c r="K7" s="5">
        <f t="shared" si="1"/>
        <v>321227829</v>
      </c>
      <c r="L7" s="1">
        <f>K7/K29</f>
        <v>0.10834569020408233</v>
      </c>
    </row>
    <row r="8" spans="1:12" x14ac:dyDescent="0.3">
      <c r="B8" s="4" t="s">
        <v>15</v>
      </c>
      <c r="C8" s="5">
        <v>2248</v>
      </c>
      <c r="D8" s="6">
        <f>C8/C29</f>
        <v>0.15428963623884695</v>
      </c>
      <c r="E8" s="5">
        <v>10467</v>
      </c>
      <c r="F8" s="6">
        <f>E8/E29</f>
        <v>0.15057398509652731</v>
      </c>
      <c r="G8" s="5">
        <v>292795</v>
      </c>
      <c r="H8" s="5">
        <f t="shared" si="0"/>
        <v>658203160</v>
      </c>
      <c r="I8" s="6">
        <f>H8/H29</f>
        <v>6.9625253529855935E-2</v>
      </c>
      <c r="J8" s="5">
        <v>138595</v>
      </c>
      <c r="K8" s="5">
        <f t="shared" si="1"/>
        <v>311561560</v>
      </c>
      <c r="L8" s="1">
        <f>K8/K29</f>
        <v>0.10508539177426189</v>
      </c>
    </row>
    <row r="9" spans="1:12" x14ac:dyDescent="0.3">
      <c r="B9" s="4" t="s">
        <v>16</v>
      </c>
      <c r="C9" s="5">
        <v>13</v>
      </c>
      <c r="D9" s="6">
        <f>C9/C29</f>
        <v>8.9224433768016469E-4</v>
      </c>
      <c r="E9" s="5">
        <v>61</v>
      </c>
      <c r="F9" s="6">
        <f>E9/E29</f>
        <v>8.775210748913888E-4</v>
      </c>
      <c r="G9" s="5">
        <v>859966</v>
      </c>
      <c r="H9" s="5">
        <f t="shared" si="0"/>
        <v>11179558</v>
      </c>
      <c r="I9" s="6">
        <f>H9/H29</f>
        <v>1.1825825328789508E-3</v>
      </c>
      <c r="J9" s="5">
        <v>289665</v>
      </c>
      <c r="K9" s="5">
        <f t="shared" si="1"/>
        <v>3765645</v>
      </c>
      <c r="L9" s="1">
        <f>K9/K29</f>
        <v>1.2700998162539386E-3</v>
      </c>
    </row>
    <row r="10" spans="1:12" x14ac:dyDescent="0.3">
      <c r="B10" s="4" t="s">
        <v>19</v>
      </c>
      <c r="C10" s="5">
        <v>806</v>
      </c>
      <c r="D10" s="6">
        <f>C10/C29</f>
        <v>5.5319148936170209E-2</v>
      </c>
      <c r="E10" s="5">
        <v>3340</v>
      </c>
      <c r="F10" s="6">
        <f>E10/E29</f>
        <v>4.8047875248151455E-2</v>
      </c>
      <c r="G10" s="5">
        <v>945108</v>
      </c>
      <c r="H10" s="5">
        <f t="shared" si="0"/>
        <v>761757048</v>
      </c>
      <c r="I10" s="6">
        <f>H10/H29</f>
        <v>8.0579266126821147E-2</v>
      </c>
      <c r="J10" s="5">
        <v>323285</v>
      </c>
      <c r="K10" s="5">
        <f t="shared" si="1"/>
        <v>260567710</v>
      </c>
      <c r="L10" s="1">
        <f>K10/K29</f>
        <v>8.7885873626618954E-2</v>
      </c>
    </row>
    <row r="11" spans="1:12" x14ac:dyDescent="0.3">
      <c r="B11" s="4" t="s">
        <v>20</v>
      </c>
      <c r="C11" s="5">
        <v>273</v>
      </c>
      <c r="D11" s="6">
        <f>C11/C29</f>
        <v>1.8737131091283461E-2</v>
      </c>
      <c r="E11" s="5">
        <v>1261</v>
      </c>
      <c r="F11" s="6">
        <f>E11/E29</f>
        <v>1.8140230744885921E-2</v>
      </c>
      <c r="G11" s="5">
        <v>758104</v>
      </c>
      <c r="H11" s="5">
        <f t="shared" si="0"/>
        <v>206962392</v>
      </c>
      <c r="I11" s="6">
        <f>H11/H29</f>
        <v>2.1892646358831563E-2</v>
      </c>
      <c r="J11" s="5">
        <v>248087</v>
      </c>
      <c r="K11" s="5">
        <f t="shared" si="1"/>
        <v>67727751</v>
      </c>
      <c r="L11" s="1">
        <f>K11/K29</f>
        <v>2.2843630799077582E-2</v>
      </c>
    </row>
    <row r="12" spans="1:12" x14ac:dyDescent="0.3">
      <c r="B12" s="4" t="s">
        <v>25</v>
      </c>
      <c r="C12" s="5">
        <v>620</v>
      </c>
      <c r="D12" s="6">
        <f>C12/C29</f>
        <v>4.2553191489361701E-2</v>
      </c>
      <c r="E12" s="5">
        <v>2830</v>
      </c>
      <c r="F12" s="6">
        <f>E12/E29</f>
        <v>4.0711223638403772E-2</v>
      </c>
      <c r="G12" s="5">
        <v>228894</v>
      </c>
      <c r="H12" s="5">
        <f t="shared" si="0"/>
        <v>141914280</v>
      </c>
      <c r="I12" s="6">
        <f>H12/H29</f>
        <v>1.5011805358860575E-2</v>
      </c>
      <c r="J12" s="5">
        <v>96759</v>
      </c>
      <c r="K12" s="5">
        <f t="shared" si="1"/>
        <v>59990580</v>
      </c>
      <c r="L12" s="1">
        <f>K12/K29</f>
        <v>2.0233990361536256E-2</v>
      </c>
    </row>
    <row r="13" spans="1:12" x14ac:dyDescent="0.3">
      <c r="B13" s="4" t="s">
        <v>26</v>
      </c>
      <c r="C13" s="5">
        <v>1563</v>
      </c>
      <c r="D13" s="6">
        <f>C13/C29</f>
        <v>0.10727522306108442</v>
      </c>
      <c r="E13" s="5">
        <v>7062</v>
      </c>
      <c r="F13" s="6">
        <f>E13/E29</f>
        <v>0.10159104640791783</v>
      </c>
      <c r="G13" s="5">
        <v>1091831</v>
      </c>
      <c r="H13" s="5">
        <f t="shared" si="0"/>
        <v>1706531853</v>
      </c>
      <c r="I13" s="6">
        <f>H13/H29</f>
        <v>0.18051829608642392</v>
      </c>
      <c r="J13" s="5">
        <v>204848</v>
      </c>
      <c r="K13" s="5">
        <f t="shared" si="1"/>
        <v>320177424</v>
      </c>
      <c r="L13" s="1">
        <f>K13/K29</f>
        <v>0.10799140317025618</v>
      </c>
    </row>
    <row r="14" spans="1:12" x14ac:dyDescent="0.3">
      <c r="B14" s="4" t="s">
        <v>27</v>
      </c>
      <c r="C14" s="5">
        <v>30</v>
      </c>
      <c r="D14" s="6">
        <f>C14/C29</f>
        <v>2.0590253946465341E-3</v>
      </c>
      <c r="E14" s="5">
        <v>94</v>
      </c>
      <c r="F14" s="6">
        <f>E14/E29</f>
        <v>1.3522455908162386E-3</v>
      </c>
      <c r="G14" s="5">
        <v>358755</v>
      </c>
      <c r="H14" s="5">
        <f t="shared" si="0"/>
        <v>10762650</v>
      </c>
      <c r="I14" s="6">
        <f>H14/H29</f>
        <v>1.1384816732011801E-3</v>
      </c>
      <c r="J14" s="5">
        <v>236245</v>
      </c>
      <c r="K14" s="5">
        <f t="shared" si="1"/>
        <v>7087350</v>
      </c>
      <c r="L14" s="1">
        <f>K14/K29</f>
        <v>2.3904648294587917E-3</v>
      </c>
    </row>
    <row r="15" spans="1:12" x14ac:dyDescent="0.3">
      <c r="B15" s="4" t="s">
        <v>28</v>
      </c>
      <c r="C15" s="5">
        <v>460</v>
      </c>
      <c r="D15" s="6">
        <f>C15/C29</f>
        <v>3.1571722717913524E-2</v>
      </c>
      <c r="E15" s="5">
        <v>2025</v>
      </c>
      <c r="F15" s="6">
        <f>E15/E29</f>
        <v>2.9130822568115774E-2</v>
      </c>
      <c r="G15" s="5">
        <v>836748</v>
      </c>
      <c r="H15" s="5">
        <f t="shared" si="0"/>
        <v>384904080</v>
      </c>
      <c r="I15" s="6">
        <f>H15/H29</f>
        <v>4.0715459577368107E-2</v>
      </c>
      <c r="J15" s="5">
        <v>333505</v>
      </c>
      <c r="K15" s="5">
        <f t="shared" si="1"/>
        <v>153412300</v>
      </c>
      <c r="L15" s="1">
        <f>K15/K29</f>
        <v>5.1743840441967871E-2</v>
      </c>
    </row>
    <row r="16" spans="1:12" x14ac:dyDescent="0.3">
      <c r="B16" s="4" t="s">
        <v>29</v>
      </c>
      <c r="C16" s="5">
        <v>325</v>
      </c>
      <c r="D16" s="6">
        <f>C16/C29</f>
        <v>2.2306108442004119E-2</v>
      </c>
      <c r="E16" s="5">
        <v>1447</v>
      </c>
      <c r="F16" s="6">
        <f>E16/E29</f>
        <v>2.0815950743735073E-2</v>
      </c>
      <c r="G16" s="5">
        <v>214889</v>
      </c>
      <c r="H16" s="5">
        <f t="shared" si="0"/>
        <v>69838925</v>
      </c>
      <c r="I16" s="6">
        <f>H16/H29</f>
        <v>7.3876170077603305E-3</v>
      </c>
      <c r="J16" s="5">
        <v>109634</v>
      </c>
      <c r="K16" s="5">
        <f t="shared" si="1"/>
        <v>35631050</v>
      </c>
      <c r="L16" s="1">
        <f>K16/K29</f>
        <v>1.2017858841695086E-2</v>
      </c>
    </row>
    <row r="17" spans="2:12" x14ac:dyDescent="0.3">
      <c r="B17" s="4" t="s">
        <v>30</v>
      </c>
      <c r="C17" s="5">
        <v>581</v>
      </c>
      <c r="D17" s="6">
        <f>C17/C29</f>
        <v>3.9876458476321208E-2</v>
      </c>
      <c r="E17" s="5">
        <v>2630</v>
      </c>
      <c r="F17" s="6">
        <f>E17/E29</f>
        <v>3.7834105360071354E-2</v>
      </c>
      <c r="G17" s="5">
        <v>689884</v>
      </c>
      <c r="H17" s="5">
        <f t="shared" si="0"/>
        <v>400822604</v>
      </c>
      <c r="I17" s="6">
        <f>H17/H29</f>
        <v>4.2399333701158545E-2</v>
      </c>
      <c r="J17" s="5">
        <v>282717</v>
      </c>
      <c r="K17" s="5">
        <f t="shared" si="1"/>
        <v>164258577</v>
      </c>
      <c r="L17" s="1">
        <f>K17/K29</f>
        <v>5.5402139199482003E-2</v>
      </c>
    </row>
    <row r="18" spans="2:12" x14ac:dyDescent="0.3">
      <c r="B18" s="4" t="s">
        <v>31</v>
      </c>
      <c r="C18" s="5">
        <v>581</v>
      </c>
      <c r="D18" s="6">
        <f>C18/C29</f>
        <v>3.9876458476321208E-2</v>
      </c>
      <c r="E18" s="5">
        <v>2293</v>
      </c>
      <c r="F18" s="6">
        <f>E18/E29</f>
        <v>3.2986161061081223E-2</v>
      </c>
      <c r="G18" s="5">
        <v>714614</v>
      </c>
      <c r="H18" s="5">
        <f t="shared" si="0"/>
        <v>415190734</v>
      </c>
      <c r="I18" s="6">
        <f>H18/H29</f>
        <v>4.3919205915080958E-2</v>
      </c>
      <c r="J18" s="5">
        <v>278534</v>
      </c>
      <c r="K18" s="5">
        <f t="shared" si="1"/>
        <v>161828254</v>
      </c>
      <c r="L18" s="1">
        <f>K18/K29</f>
        <v>5.4582424968390726E-2</v>
      </c>
    </row>
    <row r="19" spans="2:12" x14ac:dyDescent="0.3">
      <c r="B19" s="4" t="s">
        <v>32</v>
      </c>
      <c r="C19" s="5">
        <v>541</v>
      </c>
      <c r="D19" s="6">
        <f>C19/C29</f>
        <v>3.7131091283459164E-2</v>
      </c>
      <c r="E19" s="5">
        <v>2632</v>
      </c>
      <c r="F19" s="6">
        <f>E19/E29</f>
        <v>3.7862876542854675E-2</v>
      </c>
      <c r="G19" s="5">
        <v>870905</v>
      </c>
      <c r="H19" s="5">
        <f t="shared" si="0"/>
        <v>471159605</v>
      </c>
      <c r="I19" s="6">
        <f>H19/H29</f>
        <v>4.983963758416441E-2</v>
      </c>
      <c r="J19" s="5">
        <v>242627</v>
      </c>
      <c r="K19" s="5">
        <f t="shared" si="1"/>
        <v>131261207</v>
      </c>
      <c r="L19" s="1">
        <f>K19/K29</f>
        <v>4.427258408372807E-2</v>
      </c>
    </row>
    <row r="20" spans="2:12" x14ac:dyDescent="0.3">
      <c r="B20" s="4" t="s">
        <v>33</v>
      </c>
      <c r="C20" s="5">
        <v>551</v>
      </c>
      <c r="D20" s="6">
        <f>C20/C29</f>
        <v>3.7817433081674671E-2</v>
      </c>
      <c r="E20" s="5">
        <v>2575</v>
      </c>
      <c r="F20" s="6">
        <f>E20/E29</f>
        <v>3.7042897833529938E-2</v>
      </c>
      <c r="G20" s="5">
        <v>706739</v>
      </c>
      <c r="H20" s="5">
        <f t="shared" si="0"/>
        <v>389413189</v>
      </c>
      <c r="I20" s="6">
        <f>H20/H29</f>
        <v>4.1192436712085535E-2</v>
      </c>
      <c r="J20" s="5">
        <v>211672</v>
      </c>
      <c r="K20" s="5">
        <f t="shared" si="1"/>
        <v>116631272</v>
      </c>
      <c r="L20" s="1">
        <f>K20/K29</f>
        <v>3.9338109974961295E-2</v>
      </c>
    </row>
    <row r="21" spans="2:12" x14ac:dyDescent="0.3">
      <c r="B21" s="4" t="s">
        <v>34</v>
      </c>
      <c r="C21" s="5">
        <v>9</v>
      </c>
      <c r="D21" s="6">
        <f>C21/C29</f>
        <v>6.1770761839396017E-4</v>
      </c>
      <c r="E21" s="5">
        <v>28</v>
      </c>
      <c r="F21" s="6">
        <f>E21/E29</f>
        <v>4.0279655896653909E-4</v>
      </c>
      <c r="G21" s="5">
        <v>816610</v>
      </c>
      <c r="H21" s="5">
        <f t="shared" si="0"/>
        <v>7349490</v>
      </c>
      <c r="I21" s="6">
        <f>H21/H29</f>
        <v>7.7743489497245945E-4</v>
      </c>
      <c r="J21" s="5">
        <v>166304</v>
      </c>
      <c r="K21" s="5">
        <f t="shared" si="1"/>
        <v>1496736</v>
      </c>
      <c r="L21" s="1">
        <f>K21/K29</f>
        <v>5.0482828800395545E-4</v>
      </c>
    </row>
    <row r="22" spans="2:12" x14ac:dyDescent="0.3">
      <c r="B22" s="4" t="s">
        <v>35</v>
      </c>
      <c r="C22" s="5">
        <v>315</v>
      </c>
      <c r="D22" s="6">
        <f>C22/C29</f>
        <v>2.1619766643788608E-2</v>
      </c>
      <c r="E22" s="5">
        <v>1468</v>
      </c>
      <c r="F22" s="6">
        <f>E22/E29</f>
        <v>2.1118048162959979E-2</v>
      </c>
      <c r="G22" s="5">
        <v>1765663</v>
      </c>
      <c r="H22" s="5">
        <f t="shared" si="0"/>
        <v>556183845</v>
      </c>
      <c r="I22" s="6">
        <f>H22/H29</f>
        <v>5.8833569284801213E-2</v>
      </c>
      <c r="J22" s="5">
        <v>402183</v>
      </c>
      <c r="K22" s="5">
        <f t="shared" si="1"/>
        <v>126687645</v>
      </c>
      <c r="L22" s="1">
        <f>K22/K29</f>
        <v>4.2729985071918407E-2</v>
      </c>
    </row>
    <row r="23" spans="2:12" x14ac:dyDescent="0.3">
      <c r="B23" s="4" t="s">
        <v>36</v>
      </c>
      <c r="C23" s="5">
        <v>99</v>
      </c>
      <c r="D23" s="6">
        <f>C23/C29</f>
        <v>6.794783802333562E-3</v>
      </c>
      <c r="E23" s="5">
        <v>587</v>
      </c>
      <c r="F23" s="6">
        <f>E23/E29</f>
        <v>8.44434214690566E-3</v>
      </c>
      <c r="G23" s="5">
        <v>329916</v>
      </c>
      <c r="H23" s="5">
        <f t="shared" si="0"/>
        <v>32661684</v>
      </c>
      <c r="I23" s="6">
        <f>H23/H29</f>
        <v>3.4549788992384043E-3</v>
      </c>
      <c r="J23" s="5">
        <v>142965</v>
      </c>
      <c r="K23" s="5">
        <f t="shared" si="1"/>
        <v>14153535</v>
      </c>
      <c r="L23" s="1">
        <f>K23/K29</f>
        <v>4.7737909980477946E-3</v>
      </c>
    </row>
    <row r="24" spans="2:12" x14ac:dyDescent="0.3">
      <c r="B24" s="4" t="s">
        <v>37</v>
      </c>
      <c r="C24" s="5">
        <v>0</v>
      </c>
      <c r="D24" s="6">
        <f>C24/C29</f>
        <v>0</v>
      </c>
      <c r="E24" s="5">
        <v>0</v>
      </c>
      <c r="F24" s="6">
        <f>E24/E29</f>
        <v>0</v>
      </c>
      <c r="G24" s="5">
        <v>0</v>
      </c>
      <c r="H24" s="5">
        <f t="shared" si="0"/>
        <v>0</v>
      </c>
      <c r="I24" s="6">
        <f>H24/H29</f>
        <v>0</v>
      </c>
      <c r="J24" s="5">
        <v>0</v>
      </c>
      <c r="K24" s="5">
        <f t="shared" si="1"/>
        <v>0</v>
      </c>
      <c r="L24" s="1">
        <f>K24/K29</f>
        <v>0</v>
      </c>
    </row>
    <row r="25" spans="2:12" x14ac:dyDescent="0.3">
      <c r="B25" s="4" t="s">
        <v>38</v>
      </c>
      <c r="C25" s="5">
        <v>14</v>
      </c>
      <c r="D25" s="6">
        <f>C25/C29</f>
        <v>9.6087851750171582E-4</v>
      </c>
      <c r="E25" s="5">
        <v>74</v>
      </c>
      <c r="F25" s="6">
        <f>E25/E29</f>
        <v>1.0645337629829963E-3</v>
      </c>
      <c r="G25" s="5">
        <v>965781</v>
      </c>
      <c r="H25" s="5">
        <f t="shared" si="0"/>
        <v>13520934</v>
      </c>
      <c r="I25" s="6">
        <f>H25/H29</f>
        <v>1.4302551475299044E-3</v>
      </c>
      <c r="J25" s="5">
        <v>442806</v>
      </c>
      <c r="K25" s="5">
        <f t="shared" si="1"/>
        <v>6199284</v>
      </c>
      <c r="L25" s="1">
        <f>K25/K29</f>
        <v>2.0909324881410703E-3</v>
      </c>
    </row>
    <row r="26" spans="2:12" x14ac:dyDescent="0.3">
      <c r="B26" s="4" t="s">
        <v>39</v>
      </c>
      <c r="C26" s="5">
        <v>546</v>
      </c>
      <c r="D26" s="6">
        <f>C26/C29</f>
        <v>3.7474262182566921E-2</v>
      </c>
      <c r="E26" s="5">
        <v>3253</v>
      </c>
      <c r="F26" s="6">
        <f>E26/E29</f>
        <v>4.6796328797076847E-2</v>
      </c>
      <c r="G26" s="5">
        <v>120896</v>
      </c>
      <c r="H26" s="5">
        <f t="shared" si="0"/>
        <v>66009216</v>
      </c>
      <c r="I26" s="6">
        <f>H26/H29</f>
        <v>6.9825073451592412E-3</v>
      </c>
      <c r="J26" s="5">
        <v>57137</v>
      </c>
      <c r="K26" s="5">
        <f t="shared" si="1"/>
        <v>31196802</v>
      </c>
      <c r="L26" s="1">
        <f>K26/K29</f>
        <v>1.0522248509328548E-2</v>
      </c>
    </row>
    <row r="27" spans="2:12" x14ac:dyDescent="0.3">
      <c r="B27" s="4" t="s">
        <v>40</v>
      </c>
      <c r="C27" s="5">
        <v>138</v>
      </c>
      <c r="D27" s="6">
        <f>C27/C29</f>
        <v>9.4715168153740557E-3</v>
      </c>
      <c r="E27" s="5">
        <v>712</v>
      </c>
      <c r="F27" s="6">
        <f>E27/E29</f>
        <v>1.0242541070863424E-2</v>
      </c>
      <c r="G27" s="5">
        <v>355668</v>
      </c>
      <c r="H27" s="5">
        <f t="shared" si="0"/>
        <v>49082184</v>
      </c>
      <c r="I27" s="6">
        <f>H27/H29</f>
        <v>5.1919524433748374E-3</v>
      </c>
      <c r="J27" s="5">
        <v>135098</v>
      </c>
      <c r="K27" s="5">
        <f t="shared" si="1"/>
        <v>18643524</v>
      </c>
      <c r="L27" s="1">
        <f>K27/K29</f>
        <v>6.2882019963979323E-3</v>
      </c>
    </row>
    <row r="28" spans="2:12" x14ac:dyDescent="0.3">
      <c r="B28" s="4" t="s">
        <v>41</v>
      </c>
      <c r="C28" s="5">
        <v>89</v>
      </c>
      <c r="D28" s="6">
        <f>C28/C29</f>
        <v>6.1084420041180509E-3</v>
      </c>
      <c r="E28" s="5">
        <v>415</v>
      </c>
      <c r="F28" s="6">
        <f>E28/E29</f>
        <v>5.9700204275397765E-3</v>
      </c>
      <c r="G28" s="5">
        <v>788200</v>
      </c>
      <c r="H28" s="5">
        <f t="shared" si="0"/>
        <v>70149800</v>
      </c>
      <c r="I28" s="6">
        <f>H28/H29</f>
        <v>7.4205016124029065E-3</v>
      </c>
      <c r="J28" s="5">
        <v>200051</v>
      </c>
      <c r="K28" s="5">
        <f t="shared" si="1"/>
        <v>17804539</v>
      </c>
      <c r="L28" s="1">
        <f>K28/K29</f>
        <v>6.0052239954605608E-3</v>
      </c>
    </row>
    <row r="29" spans="2:12" x14ac:dyDescent="0.3">
      <c r="B29" s="10" t="s">
        <v>0</v>
      </c>
      <c r="C29" s="11">
        <f>SUM(C3:C28)</f>
        <v>14570</v>
      </c>
      <c r="D29" s="12">
        <f>SUM(D3:D28)</f>
        <v>0.99999999999999978</v>
      </c>
      <c r="E29" s="11">
        <f>SUM(E3:E28)</f>
        <v>69514</v>
      </c>
      <c r="F29" s="12">
        <f>SUM(F3:F28)</f>
        <v>1</v>
      </c>
      <c r="G29" s="11">
        <f>AVERAGE(G3:G28)</f>
        <v>660380.38461538462</v>
      </c>
      <c r="H29" s="11">
        <f>SUM(H3:H28)</f>
        <v>9453511860</v>
      </c>
      <c r="I29" s="12">
        <f>SUM(I3:I28)</f>
        <v>1</v>
      </c>
      <c r="J29" s="11">
        <f>AVERAGE(J3:J28)</f>
        <v>216909.84615384616</v>
      </c>
      <c r="K29" s="11">
        <f>SUM(K3:K28)</f>
        <v>2964841780</v>
      </c>
      <c r="L29" s="13">
        <f>SUM(L3:L28)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bcfce1-5823-48d2-ad4a-6ffd98389b0d" xsi:nil="true"/>
    <lcf76f155ced4ddcb4097134ff3c332f xmlns="1583ab8d-8bf9-4e4b-9234-373895614aa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2797F43A1AA41A73B6984EE5F6563" ma:contentTypeVersion="13" ma:contentTypeDescription="Create a new document." ma:contentTypeScope="" ma:versionID="b91504213670c49cd74b42f5f4707c67">
  <xsd:schema xmlns:xsd="http://www.w3.org/2001/XMLSchema" xmlns:xs="http://www.w3.org/2001/XMLSchema" xmlns:p="http://schemas.microsoft.com/office/2006/metadata/properties" xmlns:ns2="1583ab8d-8bf9-4e4b-9234-373895614aa2" xmlns:ns3="eebcfce1-5823-48d2-ad4a-6ffd98389b0d" targetNamespace="http://schemas.microsoft.com/office/2006/metadata/properties" ma:root="true" ma:fieldsID="07ecd03aefc2d711b1fc489d2e5527e1" ns2:_="" ns3:_="">
    <xsd:import namespace="1583ab8d-8bf9-4e4b-9234-373895614aa2"/>
    <xsd:import namespace="eebcfce1-5823-48d2-ad4a-6ffd98389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3ab8d-8bf9-4e4b-9234-373895614a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0f9247-10a2-44e6-a579-5446f749d1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bcfce1-5823-48d2-ad4a-6ffd98389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2ef1c7-27ce-40b9-956e-8907e4257748}" ma:internalName="TaxCatchAll" ma:showField="CatchAllData" ma:web="eebcfce1-5823-48d2-ad4a-6ffd98389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EAA358-2EBC-49D9-93CF-6EFF388E0FEF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1583ab8d-8bf9-4e4b-9234-373895614aa2"/>
    <ds:schemaRef ds:uri="http://schemas.openxmlformats.org/package/2006/metadata/core-properties"/>
    <ds:schemaRef ds:uri="eebcfce1-5823-48d2-ad4a-6ffd98389b0d"/>
  </ds:schemaRefs>
</ds:datastoreItem>
</file>

<file path=customXml/itemProps2.xml><?xml version="1.0" encoding="utf-8"?>
<ds:datastoreItem xmlns:ds="http://schemas.openxmlformats.org/officeDocument/2006/customXml" ds:itemID="{A30FCAEF-B8FC-4F18-90C3-A5C0E2656D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C15BA2-759F-4ED0-A5C9-B0E4A5741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83ab8d-8bf9-4e4b-9234-373895614aa2"/>
    <ds:schemaRef ds:uri="eebcfce1-5823-48d2-ad4a-6ffd98389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c3d8a03-6c4f-48cf-a1a6-1b38e749645c}" enabled="1" method="Standard" siteId="{44b5383f-aeed-4959-a674-24d907b9396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Antall ansatte</vt:lpstr>
      <vt:lpstr>Call duration by segment</vt:lpstr>
      <vt:lpstr>Call duration by industry</vt:lpstr>
      <vt:lpstr>Bransje</vt:lpstr>
      <vt:lpstr>Bransje (2-10)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Berg, Aron</cp:lastModifiedBy>
  <cp:revision/>
  <dcterms:created xsi:type="dcterms:W3CDTF">2024-07-02T12:37:48Z</dcterms:created>
  <dcterms:modified xsi:type="dcterms:W3CDTF">2024-08-09T08:28:50Z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0x0101004A92797F43A1AA41A73B6984EE5F6563</vt:lpwstr>
  </property>
</Properties>
</file>